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34938079836/WOPIServiceId_TP_BOX_2/WOPIUserId_-/"/>
    </mc:Choice>
  </mc:AlternateContent>
  <xr:revisionPtr revIDLastSave="91" documentId="8_{DF38E439-A081-A341-8301-431819B172B1}" xr6:coauthVersionLast="47" xr6:coauthVersionMax="47" xr10:uidLastSave="{BFE44FC5-D868-F24B-9036-987BBE7C225E}"/>
  <bookViews>
    <workbookView xWindow="29480" yWindow="2540" windowWidth="20640" windowHeight="17840" activeTab="1" xr2:uid="{C1AE6C4B-8D0B-0F4D-B055-8F460403CE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K27" i="2"/>
  <c r="L12" i="2"/>
  <c r="L13" i="2"/>
  <c r="L14" i="2"/>
  <c r="L15" i="2"/>
  <c r="L16" i="2"/>
  <c r="L17" i="2"/>
  <c r="L18" i="2"/>
  <c r="L19" i="2"/>
  <c r="L2" i="2"/>
  <c r="L3" i="2"/>
  <c r="L4" i="2"/>
  <c r="L5" i="2"/>
  <c r="L6" i="2"/>
  <c r="L7" i="2"/>
  <c r="L8" i="2"/>
  <c r="L9" i="2"/>
  <c r="L10" i="2"/>
  <c r="L20" i="2"/>
  <c r="L21" i="2"/>
  <c r="L22" i="2"/>
  <c r="L23" i="2"/>
  <c r="L24" i="2"/>
  <c r="L25" i="2"/>
  <c r="L26" i="2"/>
  <c r="L27" i="2"/>
  <c r="L11" i="2"/>
  <c r="K12" i="2"/>
  <c r="K13" i="2"/>
  <c r="K14" i="2"/>
  <c r="K15" i="2"/>
  <c r="K16" i="2"/>
  <c r="K17" i="2"/>
  <c r="K18" i="2"/>
  <c r="K19" i="2"/>
  <c r="K2" i="2"/>
  <c r="K3" i="2"/>
  <c r="K4" i="2"/>
  <c r="K5" i="2"/>
  <c r="K6" i="2"/>
  <c r="K7" i="2"/>
  <c r="K8" i="2"/>
  <c r="K9" i="2"/>
  <c r="K10" i="2"/>
  <c r="K20" i="2"/>
  <c r="K21" i="2"/>
  <c r="K22" i="2"/>
  <c r="K23" i="2"/>
  <c r="K24" i="2"/>
  <c r="K25" i="2"/>
  <c r="K26" i="2"/>
  <c r="K11" i="2"/>
  <c r="O56" i="1"/>
  <c r="O58" i="1"/>
  <c r="O57" i="1"/>
  <c r="O59" i="1"/>
  <c r="O50" i="1"/>
  <c r="O52" i="1"/>
  <c r="O51" i="1"/>
  <c r="O53" i="1"/>
  <c r="O44" i="1"/>
  <c r="O46" i="1"/>
  <c r="O45" i="1"/>
  <c r="O47" i="1"/>
  <c r="O38" i="1"/>
  <c r="O40" i="1"/>
  <c r="O39" i="1"/>
  <c r="O41" i="1"/>
  <c r="O32" i="1"/>
  <c r="O34" i="1"/>
  <c r="O33" i="1"/>
  <c r="O35" i="1"/>
  <c r="O26" i="1"/>
  <c r="O28" i="1"/>
  <c r="O27" i="1"/>
  <c r="O29" i="1"/>
  <c r="O22" i="1"/>
  <c r="O20" i="1"/>
  <c r="O21" i="1"/>
  <c r="O23" i="1"/>
  <c r="O14" i="1"/>
  <c r="O16" i="1"/>
  <c r="O15" i="1"/>
  <c r="O17" i="1"/>
  <c r="J40" i="1"/>
  <c r="J41" i="1"/>
  <c r="J39" i="1"/>
  <c r="J38" i="1"/>
  <c r="J35" i="1"/>
  <c r="J34" i="1"/>
  <c r="J33" i="1"/>
  <c r="J32" i="1"/>
  <c r="J28" i="1"/>
  <c r="J29" i="1"/>
  <c r="J27" i="1"/>
  <c r="J26" i="1"/>
  <c r="J22" i="1"/>
  <c r="J21" i="1"/>
  <c r="J20" i="1"/>
  <c r="J15" i="1"/>
  <c r="J14" i="1"/>
  <c r="J44" i="1"/>
  <c r="J64" i="1"/>
  <c r="J65" i="1"/>
  <c r="J62" i="1"/>
  <c r="J63" i="1"/>
  <c r="J58" i="1"/>
  <c r="J59" i="1"/>
  <c r="J57" i="1"/>
  <c r="J56" i="1"/>
  <c r="J52" i="1"/>
  <c r="J53" i="1"/>
  <c r="J50" i="1"/>
  <c r="J51" i="1"/>
  <c r="J47" i="1"/>
  <c r="J46" i="1"/>
  <c r="J45" i="1"/>
  <c r="E14" i="1"/>
  <c r="E65" i="1"/>
  <c r="E64" i="1"/>
  <c r="E62" i="1"/>
  <c r="E63" i="1"/>
  <c r="E58" i="1"/>
  <c r="E59" i="1"/>
  <c r="E56" i="1"/>
  <c r="E57" i="1"/>
  <c r="E52" i="1"/>
  <c r="E53" i="1"/>
  <c r="E50" i="1"/>
  <c r="E51" i="1"/>
  <c r="E44" i="1"/>
  <c r="E46" i="1"/>
  <c r="E47" i="1"/>
  <c r="E45" i="1"/>
  <c r="E40" i="1"/>
  <c r="E41" i="1"/>
  <c r="E39" i="1"/>
  <c r="E38" i="1"/>
  <c r="E34" i="1"/>
  <c r="E35" i="1"/>
  <c r="E33" i="1"/>
  <c r="E32" i="1"/>
  <c r="E28" i="1"/>
  <c r="E29" i="1"/>
  <c r="E27" i="1"/>
  <c r="E26" i="1"/>
  <c r="E23" i="1"/>
  <c r="E22" i="1"/>
  <c r="E21" i="1"/>
  <c r="E20" i="1"/>
  <c r="E15" i="1"/>
  <c r="E16" i="1"/>
  <c r="E17" i="1"/>
</calcChain>
</file>

<file path=xl/sharedStrings.xml><?xml version="1.0" encoding="utf-8"?>
<sst xmlns="http://schemas.openxmlformats.org/spreadsheetml/2006/main" count="264" uniqueCount="37">
  <si>
    <t>AA</t>
  </si>
  <si>
    <t>AB</t>
  </si>
  <si>
    <t>BB</t>
  </si>
  <si>
    <t>BA</t>
  </si>
  <si>
    <t>mix (ms)</t>
  </si>
  <si>
    <t>EXSY, 298K, 600 MHz peak intensities</t>
  </si>
  <si>
    <t>ν(F2) [ppm]</t>
  </si>
  <si>
    <t>ν(F1) [ppm]</t>
  </si>
  <si>
    <t>Intensity [abs]</t>
  </si>
  <si>
    <t>Annotation</t>
  </si>
  <si>
    <t>30 ms</t>
  </si>
  <si>
    <t>45 ms</t>
  </si>
  <si>
    <t>Delta ppm</t>
  </si>
  <si>
    <t>20 ms</t>
  </si>
  <si>
    <t>10 ms</t>
  </si>
  <si>
    <t>60 ms</t>
  </si>
  <si>
    <t>5 ms</t>
  </si>
  <si>
    <t>80 ms</t>
  </si>
  <si>
    <t>100 ms</t>
  </si>
  <si>
    <t>150 ms</t>
  </si>
  <si>
    <t>EXSY, 308K, 600 MHz peak intensities</t>
  </si>
  <si>
    <t>EXSY, 288K, 600 MHz peak intensities</t>
  </si>
  <si>
    <t>ratio_diag</t>
  </si>
  <si>
    <t>BA/AA</t>
  </si>
  <si>
    <t>AB/AA</t>
  </si>
  <si>
    <t>BA/BB</t>
  </si>
  <si>
    <t>h_AA</t>
  </si>
  <si>
    <t>h_BA</t>
  </si>
  <si>
    <t>h_BB</t>
  </si>
  <si>
    <t>h_AB</t>
  </si>
  <si>
    <t>initial_kex</t>
  </si>
  <si>
    <t>initial_kexBA</t>
  </si>
  <si>
    <t>T1A</t>
  </si>
  <si>
    <t>T1B</t>
  </si>
  <si>
    <t>field</t>
  </si>
  <si>
    <t>T</t>
  </si>
  <si>
    <t>tmix_ms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</si>
</sst>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3" xfId="0" applyBorder="1"/>
    <xf numFmtId="0" fontId="0" fillId="0" borderId="2" xfId="0" applyBorder="1"/>
    <xf numFmtId="2" fontId="0" fillId="0" borderId="3" xfId="0" applyNumberFormat="1" applyBorder="1"/>
    <xf numFmtId="0" fontId="0" fillId="2" borderId="3" xfId="0" applyFill="1" applyBorder="1"/>
    <xf numFmtId="0" fontId="0" fillId="2" borderId="2" xfId="0" applyFill="1" applyBorder="1"/>
    <xf numFmtId="0" fontId="0" fillId="2" borderId="1" xfId="0" applyFill="1" applyBorder="1"/>
    <xf numFmtId="2" fontId="0" fillId="0" borderId="0" xfId="0" applyNumberFormat="1" applyFill="1" applyBorder="1"/>
    <xf numFmtId="1" fontId="0" fillId="0" borderId="0" xfId="0" applyNumberFormat="1"/>
    <xf numFmtId="2" fontId="0" fillId="0" borderId="4" xfId="0" applyNumberFormat="1" applyBorder="1"/>
    <xf numFmtId="1" fontId="0" fillId="0" borderId="4" xfId="0" applyNumberFormat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7036-1D53-1043-9264-9A59B0EE54CA}">
  <dimension ref="A1:O65"/>
  <sheetViews>
    <sheetView zoomScale="150" zoomScaleNormal="150" workbookViewId="0">
      <selection sqref="A1:XFD11"/>
    </sheetView>
  </sheetViews>
  <sheetFormatPr baseColWidth="10" defaultRowHeight="16" x14ac:dyDescent="0.2"/>
  <cols>
    <col min="1" max="4" width="10.83203125" customWidth="1"/>
    <col min="5" max="5" width="10.83203125" style="1" customWidth="1"/>
    <col min="10" max="10" width="10.83203125" style="1"/>
  </cols>
  <sheetData>
    <row r="1" spans="1:15" x14ac:dyDescent="0.2">
      <c r="A1" t="s">
        <v>5</v>
      </c>
      <c r="F1" t="s">
        <v>21</v>
      </c>
      <c r="K1" t="s">
        <v>20</v>
      </c>
    </row>
    <row r="2" spans="1:15" x14ac:dyDescent="0.2">
      <c r="A2" t="s">
        <v>4</v>
      </c>
      <c r="B2" t="s">
        <v>0</v>
      </c>
      <c r="C2" t="s">
        <v>3</v>
      </c>
      <c r="D2" t="s">
        <v>2</v>
      </c>
      <c r="E2" s="1" t="s">
        <v>1</v>
      </c>
      <c r="F2" t="s">
        <v>4</v>
      </c>
      <c r="G2" t="s">
        <v>0</v>
      </c>
      <c r="H2" t="s">
        <v>3</v>
      </c>
      <c r="I2" t="s">
        <v>2</v>
      </c>
      <c r="J2" s="1" t="s">
        <v>1</v>
      </c>
      <c r="K2" t="s">
        <v>4</v>
      </c>
      <c r="L2" t="s">
        <v>0</v>
      </c>
      <c r="M2" t="s">
        <v>1</v>
      </c>
      <c r="N2" t="s">
        <v>3</v>
      </c>
      <c r="O2" s="1" t="s">
        <v>2</v>
      </c>
    </row>
    <row r="3" spans="1:15" x14ac:dyDescent="0.2">
      <c r="A3">
        <v>5</v>
      </c>
      <c r="B3">
        <v>168930208</v>
      </c>
      <c r="C3">
        <v>30234576</v>
      </c>
      <c r="D3">
        <v>74451008</v>
      </c>
      <c r="E3" s="1">
        <v>20548432</v>
      </c>
      <c r="F3">
        <v>5</v>
      </c>
      <c r="G3">
        <v>126928542</v>
      </c>
      <c r="I3">
        <v>65140322</v>
      </c>
      <c r="K3">
        <v>5</v>
      </c>
      <c r="L3">
        <v>193670568</v>
      </c>
      <c r="M3">
        <v>38312480</v>
      </c>
      <c r="N3">
        <v>40447828</v>
      </c>
      <c r="O3">
        <v>72520720</v>
      </c>
    </row>
    <row r="4" spans="1:15" x14ac:dyDescent="0.2">
      <c r="A4">
        <v>10</v>
      </c>
      <c r="B4">
        <v>163441920</v>
      </c>
      <c r="C4">
        <v>31098674</v>
      </c>
      <c r="D4">
        <v>67498838</v>
      </c>
      <c r="E4" s="1">
        <v>30461232</v>
      </c>
      <c r="F4">
        <v>10</v>
      </c>
      <c r="G4">
        <v>115793802</v>
      </c>
      <c r="H4">
        <v>23985490</v>
      </c>
      <c r="I4">
        <v>54942262</v>
      </c>
      <c r="K4">
        <v>10</v>
      </c>
      <c r="L4">
        <v>173416552</v>
      </c>
      <c r="M4">
        <v>46532204</v>
      </c>
      <c r="N4">
        <v>46307176</v>
      </c>
      <c r="O4">
        <v>52339564</v>
      </c>
    </row>
    <row r="5" spans="1:15" x14ac:dyDescent="0.2">
      <c r="A5">
        <v>20</v>
      </c>
      <c r="B5">
        <v>144712546</v>
      </c>
      <c r="C5">
        <v>39859180</v>
      </c>
      <c r="D5">
        <v>57928336</v>
      </c>
      <c r="E5" s="1">
        <v>32353366</v>
      </c>
      <c r="F5">
        <v>20</v>
      </c>
      <c r="G5">
        <v>109347754</v>
      </c>
      <c r="H5">
        <v>25538132</v>
      </c>
      <c r="I5">
        <v>52872992</v>
      </c>
      <c r="J5" s="1">
        <v>17289232</v>
      </c>
      <c r="K5">
        <v>20</v>
      </c>
      <c r="L5">
        <v>160967800</v>
      </c>
      <c r="M5">
        <v>51878944</v>
      </c>
      <c r="N5">
        <v>58582076</v>
      </c>
      <c r="O5">
        <v>44809668</v>
      </c>
    </row>
    <row r="6" spans="1:15" x14ac:dyDescent="0.2">
      <c r="A6">
        <v>30</v>
      </c>
      <c r="B6">
        <v>132912852</v>
      </c>
      <c r="C6">
        <v>34675964</v>
      </c>
      <c r="D6">
        <v>50657306</v>
      </c>
      <c r="E6" s="1">
        <v>43174048</v>
      </c>
      <c r="F6">
        <v>30</v>
      </c>
      <c r="G6">
        <v>108391174</v>
      </c>
      <c r="H6">
        <v>25664030</v>
      </c>
      <c r="I6">
        <v>45008300</v>
      </c>
      <c r="J6" s="1">
        <v>17714570</v>
      </c>
      <c r="K6">
        <v>30</v>
      </c>
      <c r="L6">
        <v>147160592</v>
      </c>
      <c r="M6">
        <v>50981944</v>
      </c>
      <c r="N6">
        <v>67167400</v>
      </c>
      <c r="O6">
        <v>34402024</v>
      </c>
    </row>
    <row r="7" spans="1:15" x14ac:dyDescent="0.2">
      <c r="A7">
        <v>45</v>
      </c>
      <c r="B7">
        <v>123865924</v>
      </c>
      <c r="C7">
        <v>45867288</v>
      </c>
      <c r="D7">
        <v>44371256</v>
      </c>
      <c r="E7" s="1">
        <v>39462584</v>
      </c>
      <c r="F7">
        <v>45</v>
      </c>
      <c r="G7">
        <v>104692752</v>
      </c>
      <c r="H7">
        <v>25256258</v>
      </c>
      <c r="I7">
        <v>42962508</v>
      </c>
      <c r="J7" s="1">
        <v>25783570</v>
      </c>
      <c r="K7">
        <v>45</v>
      </c>
    </row>
    <row r="8" spans="1:15" x14ac:dyDescent="0.2">
      <c r="A8">
        <v>60</v>
      </c>
      <c r="B8">
        <v>124014256</v>
      </c>
      <c r="C8">
        <v>49254234</v>
      </c>
      <c r="D8">
        <v>33762386</v>
      </c>
      <c r="E8" s="1">
        <v>47197440</v>
      </c>
      <c r="F8">
        <v>60</v>
      </c>
      <c r="G8">
        <v>100117462</v>
      </c>
      <c r="H8">
        <v>30518534</v>
      </c>
      <c r="I8">
        <v>38505404</v>
      </c>
      <c r="J8" s="1">
        <v>25707446</v>
      </c>
      <c r="K8">
        <v>60</v>
      </c>
      <c r="L8">
        <v>137891372</v>
      </c>
      <c r="M8">
        <v>53974268</v>
      </c>
      <c r="N8">
        <v>70190168</v>
      </c>
      <c r="O8">
        <v>33549348</v>
      </c>
    </row>
    <row r="9" spans="1:15" x14ac:dyDescent="0.2">
      <c r="A9">
        <v>80</v>
      </c>
      <c r="B9">
        <v>111762846</v>
      </c>
      <c r="C9">
        <v>51853602</v>
      </c>
      <c r="D9">
        <v>30034334</v>
      </c>
      <c r="E9" s="1">
        <v>47153530</v>
      </c>
      <c r="F9">
        <v>80</v>
      </c>
      <c r="G9">
        <v>92424656</v>
      </c>
      <c r="H9">
        <v>30921166</v>
      </c>
      <c r="I9">
        <v>34886594</v>
      </c>
      <c r="J9" s="1">
        <v>28232298</v>
      </c>
      <c r="K9">
        <v>80</v>
      </c>
      <c r="L9">
        <v>130957794</v>
      </c>
      <c r="M9">
        <v>54315602</v>
      </c>
      <c r="N9">
        <v>63130704</v>
      </c>
      <c r="O9">
        <v>27700820</v>
      </c>
    </row>
    <row r="10" spans="1:15" x14ac:dyDescent="0.2">
      <c r="A10">
        <v>100</v>
      </c>
      <c r="B10">
        <v>104207648</v>
      </c>
      <c r="C10">
        <v>54347496</v>
      </c>
      <c r="D10">
        <v>29482598</v>
      </c>
      <c r="E10" s="1">
        <v>43592928</v>
      </c>
      <c r="F10">
        <v>100</v>
      </c>
      <c r="G10">
        <v>88128548</v>
      </c>
      <c r="H10">
        <v>32688440</v>
      </c>
      <c r="I10">
        <v>29919482</v>
      </c>
      <c r="J10" s="1">
        <v>30547594</v>
      </c>
      <c r="K10">
        <v>100</v>
      </c>
      <c r="L10">
        <v>129821658</v>
      </c>
      <c r="M10">
        <v>51742260</v>
      </c>
      <c r="N10">
        <v>64040328</v>
      </c>
      <c r="O10">
        <v>31697072</v>
      </c>
    </row>
    <row r="11" spans="1:15" x14ac:dyDescent="0.2">
      <c r="A11">
        <v>150</v>
      </c>
      <c r="B11">
        <v>100560460</v>
      </c>
      <c r="C11">
        <v>49293360</v>
      </c>
      <c r="D11">
        <v>27202318</v>
      </c>
      <c r="E11" s="1">
        <v>44936446</v>
      </c>
      <c r="F11">
        <v>150</v>
      </c>
      <c r="G11">
        <v>80102888</v>
      </c>
      <c r="H11">
        <v>34872040</v>
      </c>
      <c r="I11">
        <v>24090270</v>
      </c>
      <c r="J11" s="1">
        <v>31589592</v>
      </c>
      <c r="K11">
        <v>150</v>
      </c>
      <c r="L11">
        <v>126831046</v>
      </c>
      <c r="M11">
        <v>48030870</v>
      </c>
      <c r="N11">
        <v>62240944</v>
      </c>
      <c r="O11">
        <v>27242292</v>
      </c>
    </row>
    <row r="13" spans="1:15" x14ac:dyDescent="0.2">
      <c r="A13" t="s">
        <v>10</v>
      </c>
      <c r="B13" t="s">
        <v>6</v>
      </c>
      <c r="C13" t="s">
        <v>7</v>
      </c>
      <c r="D13" t="s">
        <v>8</v>
      </c>
      <c r="E13" s="1" t="s">
        <v>12</v>
      </c>
      <c r="F13" t="s">
        <v>16</v>
      </c>
      <c r="G13" t="s">
        <v>6</v>
      </c>
      <c r="H13" t="s">
        <v>7</v>
      </c>
      <c r="I13" t="s">
        <v>8</v>
      </c>
      <c r="J13" s="1" t="s">
        <v>9</v>
      </c>
      <c r="K13" t="s">
        <v>16</v>
      </c>
      <c r="L13" t="s">
        <v>6</v>
      </c>
      <c r="M13" t="s">
        <v>7</v>
      </c>
      <c r="N13" t="s">
        <v>8</v>
      </c>
      <c r="O13" t="s">
        <v>9</v>
      </c>
    </row>
    <row r="14" spans="1:15" x14ac:dyDescent="0.2">
      <c r="A14" t="s">
        <v>0</v>
      </c>
      <c r="B14">
        <v>-71.913499999999999</v>
      </c>
      <c r="C14">
        <v>-71.921899999999994</v>
      </c>
      <c r="D14">
        <v>132912852</v>
      </c>
      <c r="E14" s="1">
        <f>B14-C14</f>
        <v>8.399999999994634E-3</v>
      </c>
      <c r="F14" t="s">
        <v>0</v>
      </c>
      <c r="G14">
        <v>-72.0197</v>
      </c>
      <c r="H14">
        <v>-72.015600000000006</v>
      </c>
      <c r="I14">
        <v>126928542</v>
      </c>
      <c r="J14" s="1">
        <f>G14-H14</f>
        <v>-4.0999999999939973E-3</v>
      </c>
      <c r="K14" t="s">
        <v>0</v>
      </c>
      <c r="L14">
        <v>-71.819199999999995</v>
      </c>
      <c r="M14">
        <v>-71.8125</v>
      </c>
      <c r="N14">
        <v>193670568</v>
      </c>
      <c r="O14" s="1">
        <f>L14-M14</f>
        <v>-6.6999999999950433E-3</v>
      </c>
    </row>
    <row r="15" spans="1:15" x14ac:dyDescent="0.2">
      <c r="A15" t="s">
        <v>3</v>
      </c>
      <c r="B15">
        <v>-71.921400000000006</v>
      </c>
      <c r="C15">
        <v>-72.140600000000006</v>
      </c>
      <c r="D15">
        <v>43174048</v>
      </c>
      <c r="E15" s="1">
        <f t="shared" ref="E15:E17" si="0">B15-C15</f>
        <v>0.21920000000000073</v>
      </c>
      <c r="F15" t="s">
        <v>2</v>
      </c>
      <c r="G15">
        <v>-72.247600000000006</v>
      </c>
      <c r="H15">
        <v>-72.25</v>
      </c>
      <c r="I15">
        <v>65140322</v>
      </c>
      <c r="J15" s="1">
        <f>G15-H15</f>
        <v>2.3999999999944066E-3</v>
      </c>
      <c r="K15" t="s">
        <v>1</v>
      </c>
      <c r="L15">
        <v>-72.051100000000005</v>
      </c>
      <c r="M15">
        <v>-71.828100000000006</v>
      </c>
      <c r="N15">
        <v>38312480</v>
      </c>
      <c r="O15" s="1">
        <f>L15-M15</f>
        <v>-0.22299999999999898</v>
      </c>
    </row>
    <row r="16" spans="1:15" x14ac:dyDescent="0.2">
      <c r="A16" t="s">
        <v>1</v>
      </c>
      <c r="B16">
        <v>-72.141499999999994</v>
      </c>
      <c r="C16">
        <v>-71.921899999999994</v>
      </c>
      <c r="D16">
        <v>34675964</v>
      </c>
      <c r="E16" s="1">
        <f t="shared" si="0"/>
        <v>-0.2195999999999998</v>
      </c>
      <c r="K16" t="s">
        <v>3</v>
      </c>
      <c r="L16">
        <v>-71.819199999999995</v>
      </c>
      <c r="M16">
        <v>-72.031199999999998</v>
      </c>
      <c r="N16">
        <v>40447828</v>
      </c>
      <c r="O16" s="1">
        <f>L16-M16</f>
        <v>0.2120000000000033</v>
      </c>
    </row>
    <row r="17" spans="1:15" x14ac:dyDescent="0.2">
      <c r="A17" t="s">
        <v>2</v>
      </c>
      <c r="B17">
        <v>-72.153300000000002</v>
      </c>
      <c r="C17">
        <v>-72.156199999999998</v>
      </c>
      <c r="D17">
        <v>50657306</v>
      </c>
      <c r="E17" s="1">
        <f t="shared" si="0"/>
        <v>2.899999999996794E-3</v>
      </c>
      <c r="K17" t="s">
        <v>2</v>
      </c>
      <c r="L17">
        <v>-72.062899999999999</v>
      </c>
      <c r="M17">
        <v>-72.0625</v>
      </c>
      <c r="N17">
        <v>72520720</v>
      </c>
      <c r="O17" s="1">
        <f>L17-M17</f>
        <v>-3.9999999999906777E-4</v>
      </c>
    </row>
    <row r="19" spans="1:15" x14ac:dyDescent="0.2">
      <c r="A19" t="s">
        <v>11</v>
      </c>
      <c r="B19" t="s">
        <v>6</v>
      </c>
      <c r="C19" t="s">
        <v>7</v>
      </c>
      <c r="D19" t="s">
        <v>8</v>
      </c>
      <c r="E19" s="1" t="s">
        <v>9</v>
      </c>
      <c r="F19" t="s">
        <v>14</v>
      </c>
      <c r="G19" t="s">
        <v>6</v>
      </c>
      <c r="H19" t="s">
        <v>7</v>
      </c>
      <c r="I19" t="s">
        <v>8</v>
      </c>
      <c r="J19" s="1" t="s">
        <v>9</v>
      </c>
      <c r="K19" t="s">
        <v>14</v>
      </c>
      <c r="L19" t="s">
        <v>6</v>
      </c>
      <c r="M19" t="s">
        <v>7</v>
      </c>
      <c r="N19" t="s">
        <v>8</v>
      </c>
      <c r="O19" t="s">
        <v>9</v>
      </c>
    </row>
    <row r="20" spans="1:15" x14ac:dyDescent="0.2">
      <c r="A20" t="s">
        <v>0</v>
      </c>
      <c r="B20">
        <v>-71.913499999999999</v>
      </c>
      <c r="C20">
        <v>-71.921899999999994</v>
      </c>
      <c r="D20">
        <v>123865924</v>
      </c>
      <c r="E20" s="1">
        <f>B20-C20</f>
        <v>8.399999999994634E-3</v>
      </c>
      <c r="F20" t="s">
        <v>0</v>
      </c>
      <c r="G20">
        <v>-72.0197</v>
      </c>
      <c r="H20">
        <v>-72.015600000000006</v>
      </c>
      <c r="I20">
        <v>115793802</v>
      </c>
      <c r="J20" s="1">
        <f>G20-H20</f>
        <v>-4.0999999999939973E-3</v>
      </c>
      <c r="K20" t="s">
        <v>0</v>
      </c>
      <c r="L20">
        <v>-71.819199999999995</v>
      </c>
      <c r="M20">
        <v>-71.8125</v>
      </c>
      <c r="N20">
        <v>173416552</v>
      </c>
      <c r="O20" s="1">
        <f>L20-M20</f>
        <v>-6.6999999999950433E-3</v>
      </c>
    </row>
    <row r="21" spans="1:15" x14ac:dyDescent="0.2">
      <c r="A21" t="s">
        <v>3</v>
      </c>
      <c r="B21">
        <v>-71.917500000000004</v>
      </c>
      <c r="C21">
        <v>-72.156199999999998</v>
      </c>
      <c r="D21">
        <v>45867288</v>
      </c>
      <c r="E21" s="1">
        <f t="shared" ref="E21:E22" si="1">B21-C21</f>
        <v>0.23869999999999436</v>
      </c>
      <c r="F21" t="s">
        <v>3</v>
      </c>
      <c r="G21">
        <v>-72.023600000000002</v>
      </c>
      <c r="H21">
        <v>-72.218800000000002</v>
      </c>
      <c r="I21">
        <v>23985490</v>
      </c>
      <c r="J21" s="1">
        <f>G21-H21</f>
        <v>0.19519999999999982</v>
      </c>
      <c r="K21" t="s">
        <v>1</v>
      </c>
      <c r="L21">
        <v>-72.043199999999999</v>
      </c>
      <c r="M21">
        <v>-71.828100000000006</v>
      </c>
      <c r="N21">
        <v>46532204</v>
      </c>
      <c r="O21" s="1">
        <f>L21-M21</f>
        <v>-0.21509999999999252</v>
      </c>
    </row>
    <row r="22" spans="1:15" x14ac:dyDescent="0.2">
      <c r="A22" t="s">
        <v>1</v>
      </c>
      <c r="B22">
        <v>-72.1494</v>
      </c>
      <c r="C22">
        <v>-71.906199999999998</v>
      </c>
      <c r="D22">
        <v>44371256</v>
      </c>
      <c r="E22" s="1">
        <f t="shared" si="1"/>
        <v>-0.24320000000000164</v>
      </c>
      <c r="F22" t="s">
        <v>2</v>
      </c>
      <c r="G22">
        <v>-72.247600000000006</v>
      </c>
      <c r="H22">
        <v>-72.25</v>
      </c>
      <c r="I22">
        <v>54942262</v>
      </c>
      <c r="J22" s="1">
        <f>G22-H22</f>
        <v>2.3999999999944066E-3</v>
      </c>
      <c r="K22" t="s">
        <v>3</v>
      </c>
      <c r="L22">
        <v>-71.815299999999993</v>
      </c>
      <c r="M22">
        <v>-72.031199999999998</v>
      </c>
      <c r="N22">
        <v>46307176</v>
      </c>
      <c r="O22" s="1">
        <f>L22-M22</f>
        <v>0.21590000000000487</v>
      </c>
    </row>
    <row r="23" spans="1:15" x14ac:dyDescent="0.2">
      <c r="A23" t="s">
        <v>2</v>
      </c>
      <c r="B23">
        <v>-72.144599999999997</v>
      </c>
      <c r="C23">
        <v>-72.155900000000003</v>
      </c>
      <c r="D23">
        <v>39462584</v>
      </c>
      <c r="E23" s="1">
        <f t="shared" ref="E23" si="2">B23-C23</f>
        <v>1.1300000000005639E-2</v>
      </c>
      <c r="K23" t="s">
        <v>2</v>
      </c>
      <c r="L23">
        <v>-72.051100000000005</v>
      </c>
      <c r="M23">
        <v>-72.0625</v>
      </c>
      <c r="N23">
        <v>52339564</v>
      </c>
      <c r="O23" s="1">
        <f>L23-M23</f>
        <v>1.1399999999994748E-2</v>
      </c>
    </row>
    <row r="25" spans="1:15" x14ac:dyDescent="0.2">
      <c r="A25" t="s">
        <v>13</v>
      </c>
      <c r="B25" t="s">
        <v>6</v>
      </c>
      <c r="C25" t="s">
        <v>7</v>
      </c>
      <c r="D25" t="s">
        <v>8</v>
      </c>
      <c r="E25" s="1" t="s">
        <v>9</v>
      </c>
      <c r="F25" t="s">
        <v>13</v>
      </c>
      <c r="G25" t="s">
        <v>6</v>
      </c>
      <c r="H25" t="s">
        <v>7</v>
      </c>
      <c r="I25" t="s">
        <v>8</v>
      </c>
      <c r="J25" s="1" t="s">
        <v>9</v>
      </c>
      <c r="K25" t="s">
        <v>13</v>
      </c>
      <c r="L25" t="s">
        <v>6</v>
      </c>
      <c r="M25" t="s">
        <v>7</v>
      </c>
      <c r="N25" t="s">
        <v>8</v>
      </c>
      <c r="O25" t="s">
        <v>9</v>
      </c>
    </row>
    <row r="26" spans="1:15" x14ac:dyDescent="0.2">
      <c r="A26" t="s">
        <v>0</v>
      </c>
      <c r="B26">
        <v>-71.913499999999999</v>
      </c>
      <c r="C26">
        <v>-71.921899999999994</v>
      </c>
      <c r="D26">
        <v>144712546</v>
      </c>
      <c r="E26" s="1">
        <f>B26-C26</f>
        <v>8.399999999994634E-3</v>
      </c>
      <c r="F26" t="s">
        <v>0</v>
      </c>
      <c r="G26">
        <v>-72.0197</v>
      </c>
      <c r="H26">
        <v>-72.015600000000006</v>
      </c>
      <c r="I26">
        <v>109347754</v>
      </c>
      <c r="J26" s="1">
        <f>G26-H26</f>
        <v>-4.0999999999939973E-3</v>
      </c>
      <c r="K26" t="s">
        <v>0</v>
      </c>
      <c r="L26">
        <v>-71.815299999999993</v>
      </c>
      <c r="M26">
        <v>-71.8125</v>
      </c>
      <c r="N26">
        <v>160967800</v>
      </c>
      <c r="O26" s="1">
        <f>L26-M26</f>
        <v>-2.7999999999934744E-3</v>
      </c>
    </row>
    <row r="27" spans="1:15" x14ac:dyDescent="0.2">
      <c r="A27" t="s">
        <v>3</v>
      </c>
      <c r="B27">
        <v>-71.917500000000004</v>
      </c>
      <c r="C27">
        <v>-72.140600000000006</v>
      </c>
      <c r="D27">
        <v>39859180</v>
      </c>
      <c r="E27" s="1">
        <f t="shared" ref="E27:E29" si="3">B27-C27</f>
        <v>0.2231000000000023</v>
      </c>
      <c r="F27" t="s">
        <v>3</v>
      </c>
      <c r="G27">
        <v>-72.027500000000003</v>
      </c>
      <c r="H27">
        <v>-72.234399999999994</v>
      </c>
      <c r="I27">
        <v>25538132</v>
      </c>
      <c r="J27" s="1">
        <f>G27-H27</f>
        <v>0.20689999999999031</v>
      </c>
      <c r="K27" t="s">
        <v>1</v>
      </c>
      <c r="L27">
        <v>-72.051100000000005</v>
      </c>
      <c r="M27">
        <v>-71.8125</v>
      </c>
      <c r="N27">
        <v>51878944</v>
      </c>
      <c r="O27" s="1">
        <f>L27-M27</f>
        <v>-0.23860000000000525</v>
      </c>
    </row>
    <row r="28" spans="1:15" x14ac:dyDescent="0.2">
      <c r="A28" t="s">
        <v>2</v>
      </c>
      <c r="B28">
        <v>-72.153300000000002</v>
      </c>
      <c r="C28">
        <v>-72.156199999999998</v>
      </c>
      <c r="D28">
        <v>57928336</v>
      </c>
      <c r="E28" s="1">
        <f>B28-C28</f>
        <v>2.899999999996794E-3</v>
      </c>
      <c r="F28" t="s">
        <v>2</v>
      </c>
      <c r="G28">
        <v>-72.247600000000006</v>
      </c>
      <c r="H28">
        <v>-72.25</v>
      </c>
      <c r="I28">
        <v>52872992</v>
      </c>
      <c r="J28" s="1">
        <f t="shared" ref="J28" si="4">G28-H28</f>
        <v>2.3999999999944066E-3</v>
      </c>
      <c r="K28" t="s">
        <v>3</v>
      </c>
      <c r="L28">
        <v>-71.819199999999995</v>
      </c>
      <c r="M28">
        <v>-72.0625</v>
      </c>
      <c r="N28">
        <v>58582076</v>
      </c>
      <c r="O28" s="1">
        <f>L28-M28</f>
        <v>0.24330000000000496</v>
      </c>
    </row>
    <row r="29" spans="1:15" x14ac:dyDescent="0.2">
      <c r="A29" t="s">
        <v>1</v>
      </c>
      <c r="B29">
        <v>-72.137600000000006</v>
      </c>
      <c r="C29">
        <v>-71.921899999999994</v>
      </c>
      <c r="D29">
        <v>32353366</v>
      </c>
      <c r="E29" s="1">
        <f t="shared" si="3"/>
        <v>-0.21570000000001244</v>
      </c>
      <c r="F29" t="s">
        <v>1</v>
      </c>
      <c r="G29">
        <v>-72.220100000000002</v>
      </c>
      <c r="H29">
        <v>-72</v>
      </c>
      <c r="I29">
        <v>17289232</v>
      </c>
      <c r="J29" s="1">
        <f>G29-H29</f>
        <v>-0.22010000000000218</v>
      </c>
      <c r="K29" t="s">
        <v>2</v>
      </c>
      <c r="L29">
        <v>-72.055000000000007</v>
      </c>
      <c r="M29">
        <v>-72.046899999999994</v>
      </c>
      <c r="N29">
        <v>44809668</v>
      </c>
      <c r="O29" s="1">
        <f>L29-M29</f>
        <v>-8.1000000000130967E-3</v>
      </c>
    </row>
    <row r="31" spans="1:15" x14ac:dyDescent="0.2">
      <c r="A31" t="s">
        <v>14</v>
      </c>
      <c r="B31" t="s">
        <v>6</v>
      </c>
      <c r="C31" t="s">
        <v>7</v>
      </c>
      <c r="D31" t="s">
        <v>8</v>
      </c>
      <c r="E31" s="1" t="s">
        <v>9</v>
      </c>
      <c r="F31" t="s">
        <v>10</v>
      </c>
      <c r="G31" t="s">
        <v>6</v>
      </c>
      <c r="H31" t="s">
        <v>7</v>
      </c>
      <c r="I31" t="s">
        <v>8</v>
      </c>
      <c r="J31" s="1" t="s">
        <v>9</v>
      </c>
      <c r="K31" t="s">
        <v>10</v>
      </c>
      <c r="L31" t="s">
        <v>6</v>
      </c>
      <c r="M31" t="s">
        <v>7</v>
      </c>
      <c r="N31" t="s">
        <v>8</v>
      </c>
      <c r="O31" t="s">
        <v>9</v>
      </c>
    </row>
    <row r="32" spans="1:15" x14ac:dyDescent="0.2">
      <c r="A32" t="s">
        <v>0</v>
      </c>
      <c r="B32">
        <v>-71.913499999999999</v>
      </c>
      <c r="C32">
        <v>-71.921899999999994</v>
      </c>
      <c r="D32">
        <v>163441920</v>
      </c>
      <c r="E32" s="1">
        <f>B32-C32</f>
        <v>8.399999999994634E-3</v>
      </c>
      <c r="F32" t="s">
        <v>0</v>
      </c>
      <c r="G32">
        <v>-72.0197</v>
      </c>
      <c r="H32">
        <v>-72.015600000000006</v>
      </c>
      <c r="I32">
        <v>108391174</v>
      </c>
      <c r="J32" s="1">
        <f>G32-H32</f>
        <v>-4.0999999999939973E-3</v>
      </c>
      <c r="K32" t="s">
        <v>0</v>
      </c>
      <c r="L32">
        <v>-71.811300000000003</v>
      </c>
      <c r="M32">
        <v>-71.8125</v>
      </c>
      <c r="N32">
        <v>147160592</v>
      </c>
      <c r="O32" s="1">
        <f>L32-M32</f>
        <v>1.1999999999972033E-3</v>
      </c>
    </row>
    <row r="33" spans="1:15" x14ac:dyDescent="0.2">
      <c r="A33" t="s">
        <v>3</v>
      </c>
      <c r="B33">
        <v>-71.921400000000006</v>
      </c>
      <c r="C33">
        <v>-72.109399999999994</v>
      </c>
      <c r="D33">
        <v>31098674</v>
      </c>
      <c r="E33" s="1">
        <f t="shared" ref="E33" si="5">B33-C33</f>
        <v>0.18799999999998818</v>
      </c>
      <c r="F33" t="s">
        <v>3</v>
      </c>
      <c r="G33">
        <v>-72.023600000000002</v>
      </c>
      <c r="H33">
        <v>-72.203100000000006</v>
      </c>
      <c r="I33">
        <v>25664030</v>
      </c>
      <c r="J33" s="1">
        <f>G33-H33</f>
        <v>0.17950000000000443</v>
      </c>
      <c r="K33" t="s">
        <v>1</v>
      </c>
      <c r="L33">
        <v>-72.051100000000005</v>
      </c>
      <c r="M33">
        <v>-71.828100000000006</v>
      </c>
      <c r="N33">
        <v>50981944</v>
      </c>
      <c r="O33" s="1">
        <f>L33-M33</f>
        <v>-0.22299999999999898</v>
      </c>
    </row>
    <row r="34" spans="1:15" x14ac:dyDescent="0.2">
      <c r="A34" t="s">
        <v>2</v>
      </c>
      <c r="B34">
        <v>-72.153300000000002</v>
      </c>
      <c r="C34">
        <v>-72.156199999999998</v>
      </c>
      <c r="D34">
        <v>67498838</v>
      </c>
      <c r="E34" s="1">
        <f>B34-C34</f>
        <v>2.899999999996794E-3</v>
      </c>
      <c r="F34" t="s">
        <v>2</v>
      </c>
      <c r="G34">
        <v>-72.247600000000006</v>
      </c>
      <c r="H34">
        <v>-72.25</v>
      </c>
      <c r="I34">
        <v>45008300</v>
      </c>
      <c r="J34" s="1">
        <f t="shared" ref="J34" si="6">G34-H34</f>
        <v>2.3999999999944066E-3</v>
      </c>
      <c r="K34" t="s">
        <v>3</v>
      </c>
      <c r="L34">
        <v>-71.815299999999993</v>
      </c>
      <c r="M34">
        <v>-72.046899999999994</v>
      </c>
      <c r="N34">
        <v>67167400</v>
      </c>
      <c r="O34" s="1">
        <f>L34-M34</f>
        <v>0.23160000000000025</v>
      </c>
    </row>
    <row r="35" spans="1:15" x14ac:dyDescent="0.2">
      <c r="A35" t="s">
        <v>1</v>
      </c>
      <c r="B35">
        <v>-72.141499999999994</v>
      </c>
      <c r="C35">
        <v>-71.921899999999994</v>
      </c>
      <c r="D35">
        <v>30461232</v>
      </c>
      <c r="E35" s="1">
        <f>B35-C35</f>
        <v>-0.2195999999999998</v>
      </c>
      <c r="F35" t="s">
        <v>1</v>
      </c>
      <c r="G35">
        <v>-72.251599999999996</v>
      </c>
      <c r="H35">
        <v>-72.046899999999994</v>
      </c>
      <c r="I35">
        <v>17714570</v>
      </c>
      <c r="J35" s="1">
        <f>G35-H35</f>
        <v>-0.20470000000000255</v>
      </c>
      <c r="K35" t="s">
        <v>2</v>
      </c>
      <c r="L35">
        <v>-72.051100000000005</v>
      </c>
      <c r="M35">
        <v>-72.0625</v>
      </c>
      <c r="N35">
        <v>34402024</v>
      </c>
      <c r="O35" s="1">
        <f>L35-M35</f>
        <v>1.1399999999994748E-2</v>
      </c>
    </row>
    <row r="37" spans="1:15" x14ac:dyDescent="0.2">
      <c r="A37" t="s">
        <v>16</v>
      </c>
      <c r="B37" t="s">
        <v>6</v>
      </c>
      <c r="C37" t="s">
        <v>7</v>
      </c>
      <c r="D37" t="s">
        <v>8</v>
      </c>
      <c r="E37" s="1" t="s">
        <v>9</v>
      </c>
      <c r="F37" t="s">
        <v>11</v>
      </c>
      <c r="G37" t="s">
        <v>6</v>
      </c>
      <c r="H37" t="s">
        <v>7</v>
      </c>
      <c r="I37" t="s">
        <v>8</v>
      </c>
      <c r="J37" s="1" t="s">
        <v>9</v>
      </c>
      <c r="K37" t="s">
        <v>15</v>
      </c>
      <c r="L37" t="s">
        <v>6</v>
      </c>
      <c r="M37" t="s">
        <v>7</v>
      </c>
      <c r="N37" t="s">
        <v>8</v>
      </c>
      <c r="O37" t="s">
        <v>9</v>
      </c>
    </row>
    <row r="38" spans="1:15" x14ac:dyDescent="0.2">
      <c r="A38" t="s">
        <v>0</v>
      </c>
      <c r="B38">
        <v>-71.913499999999999</v>
      </c>
      <c r="C38">
        <v>-71.921899999999994</v>
      </c>
      <c r="D38">
        <v>168930208</v>
      </c>
      <c r="E38" s="1">
        <f>B38-C38</f>
        <v>8.399999999994634E-3</v>
      </c>
      <c r="F38" t="s">
        <v>0</v>
      </c>
      <c r="G38">
        <v>-72.0197</v>
      </c>
      <c r="H38">
        <v>-72.015600000000006</v>
      </c>
      <c r="I38">
        <v>104692752</v>
      </c>
      <c r="J38" s="1">
        <f>G38-H38</f>
        <v>-4.0999999999939973E-3</v>
      </c>
      <c r="K38" t="s">
        <v>0</v>
      </c>
      <c r="L38">
        <v>-71.811300000000003</v>
      </c>
      <c r="M38">
        <v>-71.828100000000006</v>
      </c>
      <c r="N38">
        <v>137891372</v>
      </c>
      <c r="O38" s="1">
        <f>L38-M38</f>
        <v>1.6800000000003479E-2</v>
      </c>
    </row>
    <row r="39" spans="1:15" x14ac:dyDescent="0.2">
      <c r="A39" t="s">
        <v>3</v>
      </c>
      <c r="B39">
        <v>-71.921400000000006</v>
      </c>
      <c r="C39">
        <v>-72.109399999999994</v>
      </c>
      <c r="D39">
        <v>30234576</v>
      </c>
      <c r="E39" s="1">
        <f t="shared" ref="E39" si="7">B39-C39</f>
        <v>0.18799999999998818</v>
      </c>
      <c r="F39" t="s">
        <v>3</v>
      </c>
      <c r="G39">
        <v>-72.023600000000002</v>
      </c>
      <c r="H39">
        <v>-72.25</v>
      </c>
      <c r="I39">
        <v>25256258</v>
      </c>
      <c r="J39" s="1">
        <f>G39-H39</f>
        <v>0.22639999999999816</v>
      </c>
      <c r="K39" t="s">
        <v>1</v>
      </c>
      <c r="L39">
        <v>-72.051100000000005</v>
      </c>
      <c r="M39">
        <v>-71.828100000000006</v>
      </c>
      <c r="N39">
        <v>53974268</v>
      </c>
      <c r="O39" s="1">
        <f>L39-M39</f>
        <v>-0.22299999999999898</v>
      </c>
    </row>
    <row r="40" spans="1:15" x14ac:dyDescent="0.2">
      <c r="A40" t="s">
        <v>2</v>
      </c>
      <c r="B40">
        <v>-72.153300000000002</v>
      </c>
      <c r="C40">
        <v>-72.156199999999998</v>
      </c>
      <c r="D40">
        <v>74451008</v>
      </c>
      <c r="E40" s="1">
        <f>B40-C40</f>
        <v>2.899999999996794E-3</v>
      </c>
      <c r="F40" t="s">
        <v>2</v>
      </c>
      <c r="G40">
        <v>-72.247600000000006</v>
      </c>
      <c r="H40">
        <v>-72.25</v>
      </c>
      <c r="I40">
        <v>42962508</v>
      </c>
      <c r="J40" s="1">
        <f>G40-H40</f>
        <v>2.3999999999944066E-3</v>
      </c>
      <c r="K40" t="s">
        <v>3</v>
      </c>
      <c r="L40">
        <v>-71.811300000000003</v>
      </c>
      <c r="M40">
        <v>-72.0625</v>
      </c>
      <c r="N40">
        <v>70190168</v>
      </c>
      <c r="O40" s="1">
        <f>L40-M40</f>
        <v>0.2511999999999972</v>
      </c>
    </row>
    <row r="41" spans="1:15" x14ac:dyDescent="0.2">
      <c r="A41" t="s">
        <v>1</v>
      </c>
      <c r="B41">
        <v>-72.141499999999994</v>
      </c>
      <c r="C41">
        <v>-71.921899999999994</v>
      </c>
      <c r="D41">
        <v>20548432</v>
      </c>
      <c r="E41" s="1">
        <f>B41-C41</f>
        <v>-0.2195999999999998</v>
      </c>
      <c r="F41" t="s">
        <v>1</v>
      </c>
      <c r="G41">
        <v>-72.231899999999996</v>
      </c>
      <c r="H41">
        <v>-72.015600000000006</v>
      </c>
      <c r="I41">
        <v>25783570</v>
      </c>
      <c r="J41" s="1">
        <f t="shared" ref="J41" si="8">G41-H41</f>
        <v>-0.21629999999998972</v>
      </c>
      <c r="K41" t="s">
        <v>2</v>
      </c>
      <c r="L41">
        <v>-72.058999999999997</v>
      </c>
      <c r="M41">
        <v>-72.046899999999994</v>
      </c>
      <c r="N41">
        <v>33549348</v>
      </c>
      <c r="O41" s="1">
        <f>L41-M41</f>
        <v>-1.2100000000003774E-2</v>
      </c>
    </row>
    <row r="43" spans="1:15" x14ac:dyDescent="0.2">
      <c r="A43" t="s">
        <v>15</v>
      </c>
      <c r="B43" t="s">
        <v>6</v>
      </c>
      <c r="C43" t="s">
        <v>7</v>
      </c>
      <c r="D43" t="s">
        <v>8</v>
      </c>
      <c r="E43" s="1" t="s">
        <v>9</v>
      </c>
      <c r="F43" t="s">
        <v>15</v>
      </c>
      <c r="G43" t="s">
        <v>6</v>
      </c>
      <c r="H43" t="s">
        <v>7</v>
      </c>
      <c r="I43" t="s">
        <v>8</v>
      </c>
      <c r="J43" s="1" t="s">
        <v>9</v>
      </c>
      <c r="K43" t="s">
        <v>17</v>
      </c>
      <c r="L43" t="s">
        <v>6</v>
      </c>
      <c r="M43" t="s">
        <v>7</v>
      </c>
      <c r="N43" t="s">
        <v>8</v>
      </c>
      <c r="O43" t="s">
        <v>9</v>
      </c>
    </row>
    <row r="44" spans="1:15" x14ac:dyDescent="0.2">
      <c r="A44" t="s">
        <v>0</v>
      </c>
      <c r="B44">
        <v>-71.917500000000004</v>
      </c>
      <c r="C44">
        <v>-71.921899999999994</v>
      </c>
      <c r="D44">
        <v>124014256</v>
      </c>
      <c r="E44" s="1">
        <f t="shared" ref="E44" si="9">B44-C44</f>
        <v>4.3999999999897454E-3</v>
      </c>
      <c r="F44" t="s">
        <v>0</v>
      </c>
      <c r="G44">
        <v>-72.0197</v>
      </c>
      <c r="H44">
        <v>-72.015600000000006</v>
      </c>
      <c r="I44">
        <v>100117462</v>
      </c>
      <c r="J44" s="1">
        <f>G44-H44</f>
        <v>-4.0999999999939973E-3</v>
      </c>
      <c r="K44" t="s">
        <v>0</v>
      </c>
      <c r="L44">
        <v>-71.811300000000003</v>
      </c>
      <c r="M44">
        <v>-71.8125</v>
      </c>
      <c r="N44">
        <v>130957794</v>
      </c>
      <c r="O44" s="1">
        <f>L44-M44</f>
        <v>1.1999999999972033E-3</v>
      </c>
    </row>
    <row r="45" spans="1:15" x14ac:dyDescent="0.2">
      <c r="A45" t="s">
        <v>3</v>
      </c>
      <c r="B45">
        <v>-71.917500000000004</v>
      </c>
      <c r="C45">
        <v>-72.156199999999998</v>
      </c>
      <c r="D45">
        <v>49254234</v>
      </c>
      <c r="E45" s="1">
        <f>B45-C45</f>
        <v>0.23869999999999436</v>
      </c>
      <c r="F45" t="s">
        <v>3</v>
      </c>
      <c r="G45">
        <v>-72.015699999999995</v>
      </c>
      <c r="H45">
        <v>-72.234399999999994</v>
      </c>
      <c r="I45">
        <v>30518534</v>
      </c>
      <c r="J45" s="1">
        <f>G45-H45</f>
        <v>0.21869999999999834</v>
      </c>
      <c r="K45" t="s">
        <v>1</v>
      </c>
      <c r="L45">
        <v>-72.051100000000005</v>
      </c>
      <c r="M45">
        <v>-71.8125</v>
      </c>
      <c r="N45">
        <v>54315602</v>
      </c>
      <c r="O45" s="1">
        <f>L45-M45</f>
        <v>-0.23860000000000525</v>
      </c>
    </row>
    <row r="46" spans="1:15" x14ac:dyDescent="0.2">
      <c r="A46" t="s">
        <v>2</v>
      </c>
      <c r="B46">
        <v>-72.153300000000002</v>
      </c>
      <c r="C46">
        <v>-72.156199999999998</v>
      </c>
      <c r="D46">
        <v>33762386</v>
      </c>
      <c r="E46" s="1">
        <f>B46-C46</f>
        <v>2.899999999996794E-3</v>
      </c>
      <c r="F46" t="s">
        <v>2</v>
      </c>
      <c r="G46">
        <v>-72.243700000000004</v>
      </c>
      <c r="H46">
        <v>-72.25</v>
      </c>
      <c r="I46">
        <v>38505404</v>
      </c>
      <c r="J46" s="1">
        <f>G46-H46</f>
        <v>6.2999999999959755E-3</v>
      </c>
      <c r="K46" t="s">
        <v>3</v>
      </c>
      <c r="L46">
        <v>-71.811300000000003</v>
      </c>
      <c r="M46">
        <v>-72.046899999999994</v>
      </c>
      <c r="N46">
        <v>63130704</v>
      </c>
      <c r="O46" s="1">
        <f>L46-M46</f>
        <v>0.23559999999999093</v>
      </c>
    </row>
    <row r="47" spans="1:15" x14ac:dyDescent="0.2">
      <c r="A47" t="s">
        <v>1</v>
      </c>
      <c r="B47">
        <v>-72.1494</v>
      </c>
      <c r="C47">
        <v>-71.921899999999994</v>
      </c>
      <c r="D47">
        <v>47197440</v>
      </c>
      <c r="E47" s="1">
        <f>B47-C47</f>
        <v>-0.22750000000000625</v>
      </c>
      <c r="F47" t="s">
        <v>1</v>
      </c>
      <c r="G47">
        <v>-72.247600000000006</v>
      </c>
      <c r="H47">
        <v>-72.015600000000006</v>
      </c>
      <c r="I47">
        <v>25707446</v>
      </c>
      <c r="J47" s="1">
        <f t="shared" ref="J47" si="10">G47-H47</f>
        <v>-0.23199999999999932</v>
      </c>
      <c r="K47" t="s">
        <v>2</v>
      </c>
      <c r="L47">
        <v>-72.055000000000007</v>
      </c>
      <c r="M47">
        <v>-72.0625</v>
      </c>
      <c r="N47">
        <v>27700820</v>
      </c>
      <c r="O47" s="1">
        <f>L47-M47</f>
        <v>7.4999999999931788E-3</v>
      </c>
    </row>
    <row r="49" spans="1:15" x14ac:dyDescent="0.2">
      <c r="A49" t="s">
        <v>17</v>
      </c>
      <c r="B49" t="s">
        <v>6</v>
      </c>
      <c r="C49" t="s">
        <v>7</v>
      </c>
      <c r="D49" t="s">
        <v>8</v>
      </c>
      <c r="E49" s="1" t="s">
        <v>9</v>
      </c>
      <c r="F49" t="s">
        <v>17</v>
      </c>
      <c r="G49" t="s">
        <v>6</v>
      </c>
      <c r="H49" t="s">
        <v>7</v>
      </c>
      <c r="I49" t="s">
        <v>8</v>
      </c>
      <c r="J49" s="1" t="s">
        <v>9</v>
      </c>
      <c r="K49" t="s">
        <v>18</v>
      </c>
      <c r="L49" t="s">
        <v>6</v>
      </c>
      <c r="M49" t="s">
        <v>7</v>
      </c>
      <c r="N49" t="s">
        <v>8</v>
      </c>
      <c r="O49" t="s">
        <v>9</v>
      </c>
    </row>
    <row r="50" spans="1:15" x14ac:dyDescent="0.2">
      <c r="A50" t="s">
        <v>0</v>
      </c>
      <c r="B50">
        <v>-71.917500000000004</v>
      </c>
      <c r="C50">
        <v>-71.921899999999994</v>
      </c>
      <c r="D50">
        <v>111762846</v>
      </c>
      <c r="E50" s="1">
        <f>B50-C50</f>
        <v>4.3999999999897454E-3</v>
      </c>
      <c r="F50" t="s">
        <v>0</v>
      </c>
      <c r="G50">
        <v>-72.0197</v>
      </c>
      <c r="H50">
        <v>-72.031199999999998</v>
      </c>
      <c r="I50">
        <v>92424656</v>
      </c>
      <c r="J50" s="1">
        <f>G50-H50</f>
        <v>1.1499999999998067E-2</v>
      </c>
      <c r="K50" t="s">
        <v>0</v>
      </c>
      <c r="L50">
        <v>-71.811300000000003</v>
      </c>
      <c r="M50">
        <v>-71.8125</v>
      </c>
      <c r="N50">
        <v>129821658</v>
      </c>
      <c r="O50" s="1">
        <f>L50-M50</f>
        <v>1.1999999999972033E-3</v>
      </c>
    </row>
    <row r="51" spans="1:15" x14ac:dyDescent="0.2">
      <c r="A51" t="s">
        <v>3</v>
      </c>
      <c r="B51">
        <v>-71.913499999999999</v>
      </c>
      <c r="C51">
        <v>-72.140600000000006</v>
      </c>
      <c r="D51">
        <v>51853602</v>
      </c>
      <c r="E51" s="1">
        <f t="shared" ref="E51" si="11">B51-C51</f>
        <v>0.22710000000000719</v>
      </c>
      <c r="F51" t="s">
        <v>3</v>
      </c>
      <c r="G51">
        <v>-72.015699999999995</v>
      </c>
      <c r="H51">
        <v>-72.25</v>
      </c>
      <c r="I51">
        <v>30921166</v>
      </c>
      <c r="J51" s="1">
        <f>G51-H51</f>
        <v>0.23430000000000462</v>
      </c>
      <c r="K51" t="s">
        <v>1</v>
      </c>
      <c r="L51">
        <v>-72.051100000000005</v>
      </c>
      <c r="M51">
        <v>-71.828100000000006</v>
      </c>
      <c r="N51">
        <v>51742260</v>
      </c>
      <c r="O51" s="1">
        <f>L51-M51</f>
        <v>-0.22299999999999898</v>
      </c>
    </row>
    <row r="52" spans="1:15" x14ac:dyDescent="0.2">
      <c r="A52" t="s">
        <v>2</v>
      </c>
      <c r="B52">
        <v>-72.1494</v>
      </c>
      <c r="C52">
        <v>-72.156199999999998</v>
      </c>
      <c r="D52">
        <v>30034334</v>
      </c>
      <c r="E52" s="1">
        <f>B52-C52</f>
        <v>6.7999999999983629E-3</v>
      </c>
      <c r="F52" t="s">
        <v>2</v>
      </c>
      <c r="G52">
        <v>-72.247600000000006</v>
      </c>
      <c r="H52">
        <v>-72.25</v>
      </c>
      <c r="I52">
        <v>34886594</v>
      </c>
      <c r="J52" s="1">
        <f>G52-H52</f>
        <v>2.3999999999944066E-3</v>
      </c>
      <c r="K52" t="s">
        <v>3</v>
      </c>
      <c r="L52">
        <v>-71.815299999999993</v>
      </c>
      <c r="M52">
        <v>-72.046899999999994</v>
      </c>
      <c r="N52">
        <v>64040328</v>
      </c>
      <c r="O52" s="1">
        <f>L52-M52</f>
        <v>0.23160000000000025</v>
      </c>
    </row>
    <row r="53" spans="1:15" x14ac:dyDescent="0.2">
      <c r="A53" t="s">
        <v>1</v>
      </c>
      <c r="B53">
        <v>-72.145399999999995</v>
      </c>
      <c r="C53">
        <v>-71.921899999999994</v>
      </c>
      <c r="D53">
        <v>47153530</v>
      </c>
      <c r="E53" s="1">
        <f>B53-C53</f>
        <v>-0.22350000000000136</v>
      </c>
      <c r="F53" t="s">
        <v>1</v>
      </c>
      <c r="G53">
        <v>-72.239800000000002</v>
      </c>
      <c r="H53">
        <v>-72.031199999999998</v>
      </c>
      <c r="I53">
        <v>28232298</v>
      </c>
      <c r="J53" s="1">
        <f t="shared" ref="J53" si="12">G53-H53</f>
        <v>-0.20860000000000412</v>
      </c>
      <c r="K53" t="s">
        <v>2</v>
      </c>
      <c r="L53">
        <v>-72.051100000000005</v>
      </c>
      <c r="M53">
        <v>-72.0625</v>
      </c>
      <c r="N53">
        <v>31697072</v>
      </c>
      <c r="O53" s="1">
        <f>L53-M53</f>
        <v>1.1399999999994748E-2</v>
      </c>
    </row>
    <row r="55" spans="1:15" x14ac:dyDescent="0.2">
      <c r="A55" t="s">
        <v>18</v>
      </c>
      <c r="B55" t="s">
        <v>6</v>
      </c>
      <c r="C55" t="s">
        <v>7</v>
      </c>
      <c r="D55" t="s">
        <v>8</v>
      </c>
      <c r="E55" s="1" t="s">
        <v>9</v>
      </c>
      <c r="F55" t="s">
        <v>18</v>
      </c>
      <c r="G55" t="s">
        <v>6</v>
      </c>
      <c r="H55" t="s">
        <v>7</v>
      </c>
      <c r="I55" t="s">
        <v>8</v>
      </c>
      <c r="J55" s="1" t="s">
        <v>9</v>
      </c>
      <c r="K55" t="s">
        <v>19</v>
      </c>
      <c r="L55" t="s">
        <v>6</v>
      </c>
      <c r="M55" t="s">
        <v>7</v>
      </c>
      <c r="N55" t="s">
        <v>8</v>
      </c>
      <c r="O55" t="s">
        <v>9</v>
      </c>
    </row>
    <row r="56" spans="1:15" x14ac:dyDescent="0.2">
      <c r="A56" t="s">
        <v>0</v>
      </c>
      <c r="B56">
        <v>-71.917500000000004</v>
      </c>
      <c r="C56">
        <v>-71.921899999999994</v>
      </c>
      <c r="D56">
        <v>104207648</v>
      </c>
      <c r="E56" s="1">
        <f t="shared" ref="E56" si="13">B56-C56</f>
        <v>4.3999999999897454E-3</v>
      </c>
      <c r="F56" t="s">
        <v>0</v>
      </c>
      <c r="G56">
        <v>-72.0197</v>
      </c>
      <c r="H56">
        <v>-72.031199999999998</v>
      </c>
      <c r="I56">
        <v>88128548</v>
      </c>
      <c r="J56" s="1">
        <f>G56-H56</f>
        <v>1.1499999999998067E-2</v>
      </c>
      <c r="K56" t="s">
        <v>0</v>
      </c>
      <c r="L56">
        <v>-71.807400000000001</v>
      </c>
      <c r="M56">
        <v>-71.8125</v>
      </c>
      <c r="N56">
        <v>126831046</v>
      </c>
      <c r="O56" s="1">
        <f>L56-M56</f>
        <v>5.0999999999987722E-3</v>
      </c>
    </row>
    <row r="57" spans="1:15" x14ac:dyDescent="0.2">
      <c r="A57" t="s">
        <v>3</v>
      </c>
      <c r="B57">
        <v>-71.913499999999999</v>
      </c>
      <c r="C57">
        <v>-72.156199999999998</v>
      </c>
      <c r="D57">
        <v>54347496</v>
      </c>
      <c r="E57" s="1">
        <f>B57-C57</f>
        <v>0.24269999999999925</v>
      </c>
      <c r="F57" t="s">
        <v>3</v>
      </c>
      <c r="G57">
        <v>-72.023600000000002</v>
      </c>
      <c r="H57">
        <v>-72.25</v>
      </c>
      <c r="I57">
        <v>32688440</v>
      </c>
      <c r="J57" s="1">
        <f>G57-H57</f>
        <v>0.22639999999999816</v>
      </c>
      <c r="K57" t="s">
        <v>1</v>
      </c>
      <c r="L57">
        <v>-72.047200000000004</v>
      </c>
      <c r="M57">
        <v>-71.828100000000006</v>
      </c>
      <c r="N57">
        <v>48030870</v>
      </c>
      <c r="O57" s="1">
        <f>L57-M57</f>
        <v>-0.21909999999999741</v>
      </c>
    </row>
    <row r="58" spans="1:15" x14ac:dyDescent="0.2">
      <c r="A58" t="s">
        <v>2</v>
      </c>
      <c r="B58">
        <v>-72.157200000000003</v>
      </c>
      <c r="C58">
        <v>-72.156199999999998</v>
      </c>
      <c r="D58">
        <v>29482598</v>
      </c>
      <c r="E58" s="1">
        <f>B58-C58</f>
        <v>-1.0000000000047748E-3</v>
      </c>
      <c r="F58" t="s">
        <v>2</v>
      </c>
      <c r="G58">
        <v>-72.247600000000006</v>
      </c>
      <c r="H58">
        <v>-72.25</v>
      </c>
      <c r="I58">
        <v>29919482</v>
      </c>
      <c r="J58" s="1">
        <f t="shared" ref="J58" si="14">G58-H58</f>
        <v>2.3999999999944066E-3</v>
      </c>
      <c r="K58" t="s">
        <v>3</v>
      </c>
      <c r="L58">
        <v>-71.811300000000003</v>
      </c>
      <c r="M58">
        <v>-72.0625</v>
      </c>
      <c r="N58">
        <v>62240944</v>
      </c>
      <c r="O58" s="1">
        <f>L58-M58</f>
        <v>0.2511999999999972</v>
      </c>
    </row>
    <row r="59" spans="1:15" x14ac:dyDescent="0.2">
      <c r="A59" t="s">
        <v>1</v>
      </c>
      <c r="B59">
        <v>-72.1494</v>
      </c>
      <c r="C59">
        <v>-71.921899999999994</v>
      </c>
      <c r="D59">
        <v>43592928</v>
      </c>
      <c r="E59" s="1">
        <f>B59-C59</f>
        <v>-0.22750000000000625</v>
      </c>
      <c r="F59" t="s">
        <v>1</v>
      </c>
      <c r="G59">
        <v>-72.239800000000002</v>
      </c>
      <c r="H59">
        <v>-72.031199999999998</v>
      </c>
      <c r="I59">
        <v>30547594</v>
      </c>
      <c r="J59" s="1">
        <f>G59-H59</f>
        <v>-0.20860000000000412</v>
      </c>
      <c r="K59" t="s">
        <v>2</v>
      </c>
      <c r="L59">
        <v>-72.047200000000004</v>
      </c>
      <c r="M59">
        <v>-72.0625</v>
      </c>
      <c r="N59">
        <v>27242292</v>
      </c>
      <c r="O59" s="1">
        <f>L59-M59</f>
        <v>1.5299999999996317E-2</v>
      </c>
    </row>
    <row r="61" spans="1:15" x14ac:dyDescent="0.2">
      <c r="A61" t="s">
        <v>19</v>
      </c>
      <c r="B61" t="s">
        <v>6</v>
      </c>
      <c r="C61" t="s">
        <v>7</v>
      </c>
      <c r="D61" t="s">
        <v>8</v>
      </c>
      <c r="E61" s="1" t="s">
        <v>9</v>
      </c>
      <c r="F61" t="s">
        <v>19</v>
      </c>
      <c r="G61" t="s">
        <v>6</v>
      </c>
      <c r="H61" t="s">
        <v>7</v>
      </c>
      <c r="I61" t="s">
        <v>8</v>
      </c>
      <c r="J61" s="1" t="s">
        <v>9</v>
      </c>
    </row>
    <row r="62" spans="1:15" x14ac:dyDescent="0.2">
      <c r="A62" t="s">
        <v>0</v>
      </c>
      <c r="B62">
        <v>-71.917500000000004</v>
      </c>
      <c r="C62">
        <v>-71.921899999999994</v>
      </c>
      <c r="D62">
        <v>100560460</v>
      </c>
      <c r="E62" s="1">
        <f>B62-C62</f>
        <v>4.3999999999897454E-3</v>
      </c>
      <c r="F62" t="s">
        <v>0</v>
      </c>
      <c r="G62">
        <v>-72.0197</v>
      </c>
      <c r="H62">
        <v>-72.015600000000006</v>
      </c>
      <c r="I62">
        <v>80102888</v>
      </c>
      <c r="J62" s="1">
        <f>G62-H62</f>
        <v>-4.0999999999939973E-3</v>
      </c>
    </row>
    <row r="63" spans="1:15" x14ac:dyDescent="0.2">
      <c r="A63" t="s">
        <v>3</v>
      </c>
      <c r="B63">
        <v>-71.913499999999999</v>
      </c>
      <c r="C63">
        <v>-72.140600000000006</v>
      </c>
      <c r="D63">
        <v>49293360</v>
      </c>
      <c r="E63" s="1">
        <f t="shared" ref="E63" si="15">B63-C63</f>
        <v>0.22710000000000719</v>
      </c>
      <c r="F63" t="s">
        <v>3</v>
      </c>
      <c r="G63">
        <v>-72.0197</v>
      </c>
      <c r="H63">
        <v>-72.25</v>
      </c>
      <c r="I63">
        <v>34872040</v>
      </c>
      <c r="J63" s="1">
        <f>G63-H63</f>
        <v>0.23029999999999973</v>
      </c>
    </row>
    <row r="64" spans="1:15" x14ac:dyDescent="0.2">
      <c r="A64" t="s">
        <v>2</v>
      </c>
      <c r="B64">
        <v>-72.1494</v>
      </c>
      <c r="C64">
        <v>-72.140600000000006</v>
      </c>
      <c r="D64">
        <v>27202318</v>
      </c>
      <c r="E64" s="1">
        <f>B64-C64</f>
        <v>-8.7999999999937017E-3</v>
      </c>
      <c r="F64" t="s">
        <v>2</v>
      </c>
      <c r="G64">
        <v>-72.251599999999996</v>
      </c>
      <c r="H64">
        <v>-72.25</v>
      </c>
      <c r="I64">
        <v>24090270</v>
      </c>
      <c r="J64" s="1">
        <f>G64-H64</f>
        <v>-1.5999999999962711E-3</v>
      </c>
    </row>
    <row r="65" spans="1:10" x14ac:dyDescent="0.2">
      <c r="A65" t="s">
        <v>1</v>
      </c>
      <c r="B65">
        <v>-72.1494</v>
      </c>
      <c r="C65">
        <v>-71.921899999999994</v>
      </c>
      <c r="D65">
        <v>44936446</v>
      </c>
      <c r="E65" s="1">
        <f>B65-C65</f>
        <v>-0.22750000000000625</v>
      </c>
      <c r="F65" t="s">
        <v>1</v>
      </c>
      <c r="G65">
        <v>-72.243700000000004</v>
      </c>
      <c r="H65">
        <v>-72.031199999999998</v>
      </c>
      <c r="I65">
        <v>31589592</v>
      </c>
      <c r="J65" s="1">
        <f t="shared" ref="J65" si="16">G65-H65</f>
        <v>-0.21250000000000568</v>
      </c>
    </row>
  </sheetData>
  <sortState xmlns:xlrd2="http://schemas.microsoft.com/office/spreadsheetml/2017/richdata2" ref="K56:O59">
    <sortCondition ref="K56:K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67FD-D294-8443-B323-BE414E76FC97}">
  <dimension ref="A1:P27"/>
  <sheetViews>
    <sheetView tabSelected="1" workbookViewId="0">
      <selection activeCell="C31" sqref="C31"/>
    </sheetView>
  </sheetViews>
  <sheetFormatPr baseColWidth="10" defaultRowHeight="16" x14ac:dyDescent="0.2"/>
  <cols>
    <col min="11" max="13" width="10.83203125" style="2"/>
    <col min="16" max="16" width="10.83203125" style="2"/>
  </cols>
  <sheetData>
    <row r="1" spans="1:16" x14ac:dyDescent="0.2">
      <c r="A1" t="s">
        <v>34</v>
      </c>
      <c r="B1" t="s">
        <v>35</v>
      </c>
      <c r="C1" t="s">
        <v>36</v>
      </c>
      <c r="D1" t="s">
        <v>26</v>
      </c>
      <c r="E1" t="s">
        <v>27</v>
      </c>
      <c r="F1" t="s">
        <v>28</v>
      </c>
      <c r="G1" s="1" t="s">
        <v>29</v>
      </c>
      <c r="H1" s="14" t="s">
        <v>32</v>
      </c>
      <c r="I1" s="14" t="s">
        <v>33</v>
      </c>
      <c r="J1" s="14"/>
      <c r="K1" s="2" t="s">
        <v>22</v>
      </c>
      <c r="L1" s="2" t="s">
        <v>24</v>
      </c>
      <c r="M1" s="2" t="s">
        <v>23</v>
      </c>
      <c r="N1" s="2" t="s">
        <v>25</v>
      </c>
      <c r="O1" s="9" t="s">
        <v>30</v>
      </c>
      <c r="P1" s="9" t="s">
        <v>31</v>
      </c>
    </row>
    <row r="2" spans="1:16" x14ac:dyDescent="0.2">
      <c r="A2">
        <v>600</v>
      </c>
      <c r="B2" s="3">
        <v>288</v>
      </c>
      <c r="C2" s="3">
        <v>5</v>
      </c>
      <c r="D2" s="3">
        <v>126928542</v>
      </c>
      <c r="E2" s="6">
        <v>25147626</v>
      </c>
      <c r="F2" s="3">
        <v>65140322</v>
      </c>
      <c r="G2" s="7">
        <v>19034580</v>
      </c>
      <c r="H2" s="14">
        <v>1.4039999999999999</v>
      </c>
      <c r="I2" s="14">
        <v>1.45</v>
      </c>
      <c r="J2" s="14"/>
      <c r="K2" s="5">
        <f t="shared" ref="K2:K11" si="0">F2/D2</f>
        <v>0.51320468173344336</v>
      </c>
      <c r="L2" s="5">
        <f t="shared" ref="L2:L11" si="1">G2/D2</f>
        <v>0.14996296104937532</v>
      </c>
      <c r="M2" s="2">
        <f>E2/D2</f>
        <v>0.19812428003781846</v>
      </c>
      <c r="N2" s="2">
        <f>E2/F2</f>
        <v>0.38605314232250804</v>
      </c>
      <c r="O2" s="10">
        <f>1/((C2/1000)*((D2/G2)+1))</f>
        <v>26.081354987734507</v>
      </c>
      <c r="P2" s="10">
        <f>(E2)/( (C2/1000)*(D2+E2) )</f>
        <v>33.072408820821948</v>
      </c>
    </row>
    <row r="3" spans="1:16" x14ac:dyDescent="0.2">
      <c r="A3">
        <v>600</v>
      </c>
      <c r="B3">
        <v>288</v>
      </c>
      <c r="C3">
        <v>10</v>
      </c>
      <c r="D3">
        <v>115793802</v>
      </c>
      <c r="E3">
        <v>23985490</v>
      </c>
      <c r="F3">
        <v>54942262</v>
      </c>
      <c r="G3" s="8">
        <v>18311404</v>
      </c>
      <c r="H3" s="14">
        <v>1.4039999999999999</v>
      </c>
      <c r="I3" s="14">
        <v>1.45</v>
      </c>
      <c r="J3" s="14"/>
      <c r="K3" s="2">
        <f t="shared" si="0"/>
        <v>0.47448361700741115</v>
      </c>
      <c r="L3" s="2">
        <f t="shared" si="1"/>
        <v>0.15813803229295467</v>
      </c>
      <c r="M3" s="2">
        <f t="shared" ref="M3:M27" si="2">E3/D3</f>
        <v>0.20713967056716903</v>
      </c>
      <c r="N3" s="2">
        <f t="shared" ref="N3:N27" si="3">E3/F3</f>
        <v>0.43655810894717079</v>
      </c>
      <c r="O3" s="10">
        <f t="shared" ref="O3:O27" si="4">1/((C3/1000)*((D3/G3)+1))</f>
        <v>13.654506447721349</v>
      </c>
      <c r="P3" s="10">
        <f t="shared" ref="P3:P27" si="5">(E3)/( (C3/1000)*(D3+E3) )</f>
        <v>17.159544634122199</v>
      </c>
    </row>
    <row r="4" spans="1:16" x14ac:dyDescent="0.2">
      <c r="A4">
        <v>600</v>
      </c>
      <c r="B4">
        <v>288</v>
      </c>
      <c r="C4">
        <v>20</v>
      </c>
      <c r="D4">
        <v>109347754</v>
      </c>
      <c r="E4">
        <v>25538132</v>
      </c>
      <c r="F4">
        <v>52872992</v>
      </c>
      <c r="G4" s="1">
        <v>17289232</v>
      </c>
      <c r="H4" s="14">
        <v>1.4039999999999999</v>
      </c>
      <c r="I4" s="14">
        <v>1.45</v>
      </c>
      <c r="J4" s="14"/>
      <c r="K4" s="2">
        <f t="shared" si="0"/>
        <v>0.4835306630989421</v>
      </c>
      <c r="L4" s="2">
        <f t="shared" si="1"/>
        <v>0.1581123650697023</v>
      </c>
      <c r="M4" s="2">
        <f t="shared" si="2"/>
        <v>0.23354967126256659</v>
      </c>
      <c r="N4" s="2">
        <f t="shared" si="3"/>
        <v>0.48300901904700227</v>
      </c>
      <c r="O4" s="10">
        <f t="shared" si="4"/>
        <v>6.8262963870602542</v>
      </c>
      <c r="P4" s="10">
        <f t="shared" si="5"/>
        <v>9.4665693933314863</v>
      </c>
    </row>
    <row r="5" spans="1:16" x14ac:dyDescent="0.2">
      <c r="A5">
        <v>600</v>
      </c>
      <c r="B5">
        <v>288</v>
      </c>
      <c r="C5">
        <v>30</v>
      </c>
      <c r="D5">
        <v>108391174</v>
      </c>
      <c r="E5">
        <v>25664030</v>
      </c>
      <c r="F5">
        <v>45008300</v>
      </c>
      <c r="G5" s="1">
        <v>17714570</v>
      </c>
      <c r="H5" s="14">
        <v>1.4039999999999999</v>
      </c>
      <c r="I5" s="14">
        <v>1.45</v>
      </c>
      <c r="J5" s="14"/>
      <c r="K5" s="2">
        <f t="shared" si="0"/>
        <v>0.41523952863542191</v>
      </c>
      <c r="L5" s="2">
        <f t="shared" si="1"/>
        <v>0.1634318491651359</v>
      </c>
      <c r="M5" s="2">
        <f t="shared" si="2"/>
        <v>0.23677232244020163</v>
      </c>
      <c r="N5" s="2">
        <f t="shared" si="3"/>
        <v>0.57020660633705333</v>
      </c>
      <c r="O5" s="10">
        <f t="shared" si="4"/>
        <v>4.68246447732521</v>
      </c>
      <c r="P5" s="10">
        <f t="shared" si="5"/>
        <v>6.3814580944329977</v>
      </c>
    </row>
    <row r="6" spans="1:16" x14ac:dyDescent="0.2">
      <c r="A6">
        <v>600</v>
      </c>
      <c r="B6">
        <v>288</v>
      </c>
      <c r="C6">
        <v>45</v>
      </c>
      <c r="D6">
        <v>104692752</v>
      </c>
      <c r="E6">
        <v>25256258</v>
      </c>
      <c r="F6">
        <v>42962508</v>
      </c>
      <c r="G6" s="1">
        <v>25783570</v>
      </c>
      <c r="H6" s="14">
        <v>1.4039999999999999</v>
      </c>
      <c r="I6" s="14">
        <v>1.45</v>
      </c>
      <c r="J6" s="14"/>
      <c r="K6" s="2">
        <f t="shared" si="0"/>
        <v>0.41036754865322483</v>
      </c>
      <c r="L6" s="2">
        <f t="shared" si="1"/>
        <v>0.2462784625243207</v>
      </c>
      <c r="M6" s="2">
        <f t="shared" si="2"/>
        <v>0.2412417050609196</v>
      </c>
      <c r="N6" s="2">
        <f t="shared" si="3"/>
        <v>0.58786740289929074</v>
      </c>
      <c r="O6" s="10">
        <f t="shared" si="4"/>
        <v>4.3913578604876857</v>
      </c>
      <c r="P6" s="10">
        <f t="shared" si="5"/>
        <v>4.3190031057395339</v>
      </c>
    </row>
    <row r="7" spans="1:16" x14ac:dyDescent="0.2">
      <c r="A7">
        <v>600</v>
      </c>
      <c r="B7">
        <v>288</v>
      </c>
      <c r="C7">
        <v>60</v>
      </c>
      <c r="D7">
        <v>100117462</v>
      </c>
      <c r="E7">
        <v>30518534</v>
      </c>
      <c r="F7">
        <v>38505404</v>
      </c>
      <c r="G7" s="1">
        <v>25707446</v>
      </c>
      <c r="H7" s="14">
        <v>1.4039999999999999</v>
      </c>
      <c r="I7" s="14">
        <v>1.45</v>
      </c>
      <c r="J7" s="14"/>
      <c r="K7" s="2">
        <f t="shared" si="0"/>
        <v>0.38460227847166162</v>
      </c>
      <c r="L7" s="2">
        <f t="shared" si="1"/>
        <v>0.25677284947554901</v>
      </c>
      <c r="M7" s="2">
        <f t="shared" si="2"/>
        <v>0.3048272837759311</v>
      </c>
      <c r="N7" s="2">
        <f t="shared" si="3"/>
        <v>0.79257794568263717</v>
      </c>
      <c r="O7" s="10">
        <f t="shared" si="4"/>
        <v>3.4051877338414847</v>
      </c>
      <c r="P7" s="10">
        <f t="shared" si="5"/>
        <v>3.8935840725961421</v>
      </c>
    </row>
    <row r="8" spans="1:16" x14ac:dyDescent="0.2">
      <c r="A8">
        <v>600</v>
      </c>
      <c r="B8">
        <v>288</v>
      </c>
      <c r="C8">
        <v>80</v>
      </c>
      <c r="D8">
        <v>92424656</v>
      </c>
      <c r="E8">
        <v>30921166</v>
      </c>
      <c r="F8">
        <v>34886594</v>
      </c>
      <c r="G8" s="1">
        <v>28232298</v>
      </c>
      <c r="H8" s="14">
        <v>1.4039999999999999</v>
      </c>
      <c r="I8" s="14">
        <v>1.45</v>
      </c>
      <c r="J8" s="14"/>
      <c r="K8" s="2">
        <f t="shared" si="0"/>
        <v>0.37745981981258336</v>
      </c>
      <c r="L8" s="2">
        <f t="shared" si="1"/>
        <v>0.30546284099775278</v>
      </c>
      <c r="M8" s="2">
        <f t="shared" si="2"/>
        <v>0.3345553809797247</v>
      </c>
      <c r="N8" s="2">
        <f t="shared" si="3"/>
        <v>0.88633375903649403</v>
      </c>
      <c r="O8" s="10">
        <f t="shared" si="4"/>
        <v>2.9248519318662725</v>
      </c>
      <c r="P8" s="10">
        <f t="shared" si="5"/>
        <v>3.1335846543711874</v>
      </c>
    </row>
    <row r="9" spans="1:16" x14ac:dyDescent="0.2">
      <c r="A9">
        <v>600</v>
      </c>
      <c r="B9">
        <v>288</v>
      </c>
      <c r="C9">
        <v>100</v>
      </c>
      <c r="D9">
        <v>88128548</v>
      </c>
      <c r="E9">
        <v>32688440</v>
      </c>
      <c r="F9">
        <v>29919482</v>
      </c>
      <c r="G9" s="1">
        <v>30547594</v>
      </c>
      <c r="H9" s="14">
        <v>1.4039999999999999</v>
      </c>
      <c r="I9" s="14">
        <v>1.45</v>
      </c>
      <c r="J9" s="14"/>
      <c r="K9" s="2">
        <f t="shared" si="0"/>
        <v>0.33949818394829334</v>
      </c>
      <c r="L9" s="2">
        <f t="shared" si="1"/>
        <v>0.34662540905587141</v>
      </c>
      <c r="M9" s="2">
        <f t="shared" si="2"/>
        <v>0.37091771896661679</v>
      </c>
      <c r="N9" s="2">
        <f t="shared" si="3"/>
        <v>1.0925469899512297</v>
      </c>
      <c r="O9" s="10">
        <f t="shared" si="4"/>
        <v>2.5740299174875432</v>
      </c>
      <c r="P9" s="10">
        <f t="shared" si="5"/>
        <v>2.7056162002648168</v>
      </c>
    </row>
    <row r="10" spans="1:16" x14ac:dyDescent="0.2">
      <c r="A10">
        <v>600</v>
      </c>
      <c r="B10">
        <v>288</v>
      </c>
      <c r="C10">
        <v>150</v>
      </c>
      <c r="D10">
        <v>80102888</v>
      </c>
      <c r="E10">
        <v>34872040</v>
      </c>
      <c r="F10">
        <v>24090270</v>
      </c>
      <c r="G10" s="1">
        <v>31589592</v>
      </c>
      <c r="H10" s="14">
        <v>1.4039999999999999</v>
      </c>
      <c r="I10" s="14">
        <v>1.45</v>
      </c>
      <c r="J10" s="14"/>
      <c r="K10" s="2">
        <f t="shared" si="0"/>
        <v>0.30074159123950689</v>
      </c>
      <c r="L10" s="2">
        <f t="shared" si="1"/>
        <v>0.39436271011851659</v>
      </c>
      <c r="M10" s="11">
        <f t="shared" si="2"/>
        <v>0.43534060844348083</v>
      </c>
      <c r="N10" s="11">
        <f t="shared" si="3"/>
        <v>1.447557042739662</v>
      </c>
      <c r="O10" s="12">
        <f t="shared" si="4"/>
        <v>1.8855099286899171</v>
      </c>
      <c r="P10" s="10">
        <f t="shared" si="5"/>
        <v>2.0220083692217372</v>
      </c>
    </row>
    <row r="11" spans="1:16" x14ac:dyDescent="0.2">
      <c r="A11">
        <v>600</v>
      </c>
      <c r="B11" s="3">
        <v>298</v>
      </c>
      <c r="C11" s="3">
        <v>5</v>
      </c>
      <c r="D11" s="3">
        <v>168930208</v>
      </c>
      <c r="E11" s="3">
        <v>30234576</v>
      </c>
      <c r="F11" s="3">
        <v>74451008</v>
      </c>
      <c r="G11" s="4">
        <v>20548432</v>
      </c>
      <c r="H11" s="3">
        <v>1.5</v>
      </c>
      <c r="I11" s="3">
        <v>1.5</v>
      </c>
      <c r="J11" s="3"/>
      <c r="K11" s="5">
        <f t="shared" si="0"/>
        <v>0.44072051340870899</v>
      </c>
      <c r="L11" s="5">
        <f t="shared" si="1"/>
        <v>0.12163858816772427</v>
      </c>
      <c r="M11" s="2">
        <f t="shared" si="2"/>
        <v>0.17897672866181519</v>
      </c>
      <c r="N11" s="2">
        <f t="shared" si="3"/>
        <v>0.40610029081137489</v>
      </c>
      <c r="O11" s="10">
        <f t="shared" si="4"/>
        <v>21.689444256091349</v>
      </c>
      <c r="P11" s="10">
        <f t="shared" si="5"/>
        <v>30.361367499587676</v>
      </c>
    </row>
    <row r="12" spans="1:16" x14ac:dyDescent="0.2">
      <c r="A12">
        <v>600</v>
      </c>
      <c r="B12">
        <v>298</v>
      </c>
      <c r="C12">
        <v>10</v>
      </c>
      <c r="D12">
        <v>163441920</v>
      </c>
      <c r="E12">
        <v>31098674</v>
      </c>
      <c r="F12">
        <v>67498838</v>
      </c>
      <c r="G12" s="1">
        <v>30461232</v>
      </c>
      <c r="H12" s="14">
        <v>1.5</v>
      </c>
      <c r="I12" s="14">
        <v>1.5</v>
      </c>
      <c r="J12" s="14"/>
      <c r="K12" s="2">
        <f t="shared" ref="K12:K27" si="6">F12/D12</f>
        <v>0.41298363357454437</v>
      </c>
      <c r="L12" s="2">
        <f t="shared" ref="L12:L27" si="7">G12/D12</f>
        <v>0.1863734346733078</v>
      </c>
      <c r="M12" s="2">
        <f t="shared" si="2"/>
        <v>0.19027354793678392</v>
      </c>
      <c r="N12" s="2">
        <f t="shared" si="3"/>
        <v>0.46072902766118728</v>
      </c>
      <c r="O12" s="10">
        <f t="shared" si="4"/>
        <v>15.709508425113173</v>
      </c>
      <c r="P12" s="10">
        <f t="shared" si="5"/>
        <v>15.985699108125475</v>
      </c>
    </row>
    <row r="13" spans="1:16" x14ac:dyDescent="0.2">
      <c r="A13">
        <v>600</v>
      </c>
      <c r="B13">
        <v>298</v>
      </c>
      <c r="C13">
        <v>20</v>
      </c>
      <c r="D13">
        <v>144712546</v>
      </c>
      <c r="E13">
        <v>39859180</v>
      </c>
      <c r="F13">
        <v>57928336</v>
      </c>
      <c r="G13" s="1">
        <v>32353366</v>
      </c>
      <c r="H13" s="13"/>
      <c r="I13" s="13"/>
      <c r="J13" s="13"/>
      <c r="K13" s="2">
        <f t="shared" si="6"/>
        <v>0.40029933548401531</v>
      </c>
      <c r="L13" s="2">
        <f t="shared" si="7"/>
        <v>0.22356987624279653</v>
      </c>
      <c r="M13" s="2">
        <f t="shared" si="2"/>
        <v>0.27543693412732856</v>
      </c>
      <c r="N13" s="2">
        <f t="shared" si="3"/>
        <v>0.68807742034917074</v>
      </c>
      <c r="O13" s="10">
        <f t="shared" si="4"/>
        <v>9.1359668370273326</v>
      </c>
      <c r="P13" s="10">
        <f t="shared" si="5"/>
        <v>10.797748079789859</v>
      </c>
    </row>
    <row r="14" spans="1:16" x14ac:dyDescent="0.2">
      <c r="A14">
        <v>600</v>
      </c>
      <c r="B14">
        <v>298</v>
      </c>
      <c r="C14">
        <v>30</v>
      </c>
      <c r="D14">
        <v>132912852</v>
      </c>
      <c r="E14">
        <v>34675964</v>
      </c>
      <c r="F14">
        <v>50657306</v>
      </c>
      <c r="G14" s="1">
        <v>43174048</v>
      </c>
      <c r="H14" s="13"/>
      <c r="I14" s="13"/>
      <c r="J14" s="13"/>
      <c r="K14" s="2">
        <f t="shared" si="6"/>
        <v>0.38113173585350496</v>
      </c>
      <c r="L14" s="2">
        <f t="shared" si="7"/>
        <v>0.32482974633634376</v>
      </c>
      <c r="M14" s="2">
        <f t="shared" si="2"/>
        <v>0.26089248314376701</v>
      </c>
      <c r="N14" s="2">
        <f t="shared" si="3"/>
        <v>0.68452049147658978</v>
      </c>
      <c r="O14" s="10">
        <f t="shared" si="4"/>
        <v>8.1728676768875665</v>
      </c>
      <c r="P14" s="10">
        <f t="shared" si="5"/>
        <v>6.8970322379189479</v>
      </c>
    </row>
    <row r="15" spans="1:16" x14ac:dyDescent="0.2">
      <c r="A15">
        <v>600</v>
      </c>
      <c r="B15">
        <v>298</v>
      </c>
      <c r="C15">
        <v>45</v>
      </c>
      <c r="D15">
        <v>123865924</v>
      </c>
      <c r="E15">
        <v>45867288</v>
      </c>
      <c r="F15">
        <v>44371256</v>
      </c>
      <c r="G15" s="1">
        <v>39462584</v>
      </c>
      <c r="H15" s="13"/>
      <c r="I15" s="13"/>
      <c r="J15" s="13"/>
      <c r="K15" s="2">
        <f t="shared" si="6"/>
        <v>0.35822003798235907</v>
      </c>
      <c r="L15" s="2">
        <f t="shared" si="7"/>
        <v>0.3185911243838136</v>
      </c>
      <c r="M15" s="2">
        <f t="shared" si="2"/>
        <v>0.37029787143072534</v>
      </c>
      <c r="N15" s="2">
        <f t="shared" si="3"/>
        <v>1.0337162418841603</v>
      </c>
      <c r="O15" s="10">
        <f t="shared" si="4"/>
        <v>5.3692176696496317</v>
      </c>
      <c r="P15" s="10">
        <f t="shared" si="5"/>
        <v>6.0051480476706391</v>
      </c>
    </row>
    <row r="16" spans="1:16" x14ac:dyDescent="0.2">
      <c r="A16">
        <v>600</v>
      </c>
      <c r="B16">
        <v>298</v>
      </c>
      <c r="C16">
        <v>60</v>
      </c>
      <c r="D16">
        <v>124014256</v>
      </c>
      <c r="E16">
        <v>49254234</v>
      </c>
      <c r="F16">
        <v>33762386</v>
      </c>
      <c r="G16" s="1">
        <v>47197440</v>
      </c>
      <c r="H16" s="13"/>
      <c r="I16" s="13"/>
      <c r="J16" s="13"/>
      <c r="K16" s="2">
        <f t="shared" si="6"/>
        <v>0.27224600694294371</v>
      </c>
      <c r="L16" s="2">
        <f t="shared" si="7"/>
        <v>0.38058076161824494</v>
      </c>
      <c r="M16" s="2">
        <f t="shared" si="2"/>
        <v>0.3971659032490587</v>
      </c>
      <c r="N16" s="2">
        <f t="shared" si="3"/>
        <v>1.4588493242154152</v>
      </c>
      <c r="O16" s="10">
        <f t="shared" si="4"/>
        <v>4.5944524724525833</v>
      </c>
      <c r="P16" s="10">
        <f t="shared" si="5"/>
        <v>4.7377564149142177</v>
      </c>
    </row>
    <row r="17" spans="1:16" x14ac:dyDescent="0.2">
      <c r="A17">
        <v>600</v>
      </c>
      <c r="B17">
        <v>298</v>
      </c>
      <c r="C17">
        <v>80</v>
      </c>
      <c r="D17">
        <v>111762846</v>
      </c>
      <c r="E17">
        <v>51853602</v>
      </c>
      <c r="F17">
        <v>30034334</v>
      </c>
      <c r="G17" s="1">
        <v>47153530</v>
      </c>
      <c r="H17" s="13"/>
      <c r="I17" s="13"/>
      <c r="J17" s="13"/>
      <c r="K17" s="2">
        <f t="shared" si="6"/>
        <v>0.26873272357434419</v>
      </c>
      <c r="L17" s="2">
        <f t="shared" si="7"/>
        <v>0.42190702624018717</v>
      </c>
      <c r="M17" s="2">
        <f t="shared" si="2"/>
        <v>0.46396100185208239</v>
      </c>
      <c r="N17" s="2">
        <f t="shared" si="3"/>
        <v>1.7264775040458695</v>
      </c>
      <c r="O17" s="10">
        <f t="shared" si="4"/>
        <v>3.7089892170709957</v>
      </c>
      <c r="P17" s="10">
        <f t="shared" si="5"/>
        <v>3.9615211852050476</v>
      </c>
    </row>
    <row r="18" spans="1:16" x14ac:dyDescent="0.2">
      <c r="A18">
        <v>600</v>
      </c>
      <c r="B18">
        <v>298</v>
      </c>
      <c r="C18">
        <v>100</v>
      </c>
      <c r="D18">
        <v>104207648</v>
      </c>
      <c r="E18">
        <v>54347496</v>
      </c>
      <c r="F18">
        <v>29482598</v>
      </c>
      <c r="G18" s="1">
        <v>43592928</v>
      </c>
      <c r="H18" s="13"/>
      <c r="I18" s="13"/>
      <c r="J18" s="13"/>
      <c r="K18" s="2">
        <f t="shared" si="6"/>
        <v>0.2829216335445936</v>
      </c>
      <c r="L18" s="2">
        <f t="shared" si="7"/>
        <v>0.41832753004846629</v>
      </c>
      <c r="M18" s="2">
        <f t="shared" si="2"/>
        <v>0.5215307805430941</v>
      </c>
      <c r="N18" s="2">
        <f t="shared" si="3"/>
        <v>1.84337540402647</v>
      </c>
      <c r="O18" s="10">
        <f t="shared" si="4"/>
        <v>2.9494423621190755</v>
      </c>
      <c r="P18" s="10">
        <f t="shared" si="5"/>
        <v>3.4276715739982553</v>
      </c>
    </row>
    <row r="19" spans="1:16" x14ac:dyDescent="0.2">
      <c r="A19">
        <v>600</v>
      </c>
      <c r="B19">
        <v>298</v>
      </c>
      <c r="C19">
        <v>150</v>
      </c>
      <c r="D19">
        <v>100560460</v>
      </c>
      <c r="E19">
        <v>49293360</v>
      </c>
      <c r="F19">
        <v>27202318</v>
      </c>
      <c r="G19" s="1">
        <v>44936446</v>
      </c>
      <c r="H19" s="13"/>
      <c r="I19" s="13"/>
      <c r="J19" s="13"/>
      <c r="K19" s="2">
        <f t="shared" si="6"/>
        <v>0.27050709593014988</v>
      </c>
      <c r="L19" s="2">
        <f t="shared" si="7"/>
        <v>0.4468599885084058</v>
      </c>
      <c r="M19" s="11">
        <f t="shared" si="2"/>
        <v>0.49018630185263673</v>
      </c>
      <c r="N19" s="11">
        <f t="shared" si="3"/>
        <v>1.8121014540010891</v>
      </c>
      <c r="O19" s="12">
        <f t="shared" si="4"/>
        <v>2.0589874719856014</v>
      </c>
      <c r="P19" s="10">
        <f t="shared" si="5"/>
        <v>2.1929531059001364</v>
      </c>
    </row>
    <row r="20" spans="1:16" x14ac:dyDescent="0.2">
      <c r="A20">
        <v>600</v>
      </c>
      <c r="B20" s="3">
        <v>308</v>
      </c>
      <c r="C20" s="3">
        <v>5</v>
      </c>
      <c r="D20" s="3">
        <v>193670568</v>
      </c>
      <c r="E20" s="3">
        <v>40447828</v>
      </c>
      <c r="F20" s="3">
        <v>72520720</v>
      </c>
      <c r="G20" s="4">
        <v>38312480</v>
      </c>
      <c r="H20" s="3">
        <v>1.5189999999999999</v>
      </c>
      <c r="I20" s="3">
        <v>1.466</v>
      </c>
      <c r="J20" s="3"/>
      <c r="K20" s="5">
        <f t="shared" si="6"/>
        <v>0.37445400583531102</v>
      </c>
      <c r="L20" s="5">
        <f t="shared" si="7"/>
        <v>0.19782293404540435</v>
      </c>
      <c r="M20" s="2">
        <f t="shared" si="2"/>
        <v>0.20884860522534326</v>
      </c>
      <c r="N20" s="2">
        <f t="shared" si="3"/>
        <v>0.55774167713723743</v>
      </c>
      <c r="O20" s="10">
        <f t="shared" si="4"/>
        <v>33.030413498144917</v>
      </c>
      <c r="P20" s="10">
        <f t="shared" si="5"/>
        <v>34.553310368656376</v>
      </c>
    </row>
    <row r="21" spans="1:16" x14ac:dyDescent="0.2">
      <c r="A21">
        <v>600</v>
      </c>
      <c r="B21">
        <v>308</v>
      </c>
      <c r="C21">
        <v>10</v>
      </c>
      <c r="D21">
        <v>173416552</v>
      </c>
      <c r="E21">
        <v>46307176</v>
      </c>
      <c r="F21">
        <v>52339564</v>
      </c>
      <c r="G21" s="1">
        <v>46532204</v>
      </c>
      <c r="H21" s="14">
        <v>1.5189999999999999</v>
      </c>
      <c r="I21" s="14">
        <v>1.466</v>
      </c>
      <c r="J21" s="14"/>
      <c r="K21" s="2">
        <f t="shared" si="6"/>
        <v>0.30181411979636175</v>
      </c>
      <c r="L21" s="2">
        <f t="shared" si="7"/>
        <v>0.26832619760540505</v>
      </c>
      <c r="M21" s="2">
        <f t="shared" si="2"/>
        <v>0.26702858213903363</v>
      </c>
      <c r="N21" s="2">
        <f t="shared" si="3"/>
        <v>0.88474516142320181</v>
      </c>
      <c r="O21" s="10">
        <f t="shared" si="4"/>
        <v>21.155929611168158</v>
      </c>
      <c r="P21" s="10">
        <f t="shared" si="5"/>
        <v>21.075182194250772</v>
      </c>
    </row>
    <row r="22" spans="1:16" x14ac:dyDescent="0.2">
      <c r="A22">
        <v>600</v>
      </c>
      <c r="B22">
        <v>308</v>
      </c>
      <c r="C22">
        <v>20</v>
      </c>
      <c r="D22">
        <v>160967800</v>
      </c>
      <c r="E22">
        <v>58582076</v>
      </c>
      <c r="F22">
        <v>44809668</v>
      </c>
      <c r="G22" s="1">
        <v>51878944</v>
      </c>
      <c r="H22" s="14">
        <v>1.5189999999999999</v>
      </c>
      <c r="I22" s="14">
        <v>1.466</v>
      </c>
      <c r="J22" s="14"/>
      <c r="K22" s="2">
        <f t="shared" si="6"/>
        <v>0.27837659457357311</v>
      </c>
      <c r="L22" s="2">
        <f t="shared" si="7"/>
        <v>0.32229392462343398</v>
      </c>
      <c r="M22" s="2">
        <f t="shared" si="2"/>
        <v>0.36393661340963845</v>
      </c>
      <c r="N22" s="2">
        <f t="shared" si="3"/>
        <v>1.3073534934469946</v>
      </c>
      <c r="O22" s="10">
        <f t="shared" si="4"/>
        <v>12.186924503764077</v>
      </c>
      <c r="P22" s="10">
        <f t="shared" si="5"/>
        <v>13.341404938894156</v>
      </c>
    </row>
    <row r="23" spans="1:16" x14ac:dyDescent="0.2">
      <c r="A23">
        <v>600</v>
      </c>
      <c r="B23">
        <v>308</v>
      </c>
      <c r="C23">
        <v>30</v>
      </c>
      <c r="D23">
        <v>147160592</v>
      </c>
      <c r="E23">
        <v>67167400</v>
      </c>
      <c r="F23">
        <v>34402024</v>
      </c>
      <c r="G23" s="1">
        <v>50981944</v>
      </c>
      <c r="H23" s="14">
        <v>1.5189999999999999</v>
      </c>
      <c r="I23" s="14">
        <v>1.466</v>
      </c>
      <c r="J23" s="14"/>
      <c r="K23" s="2">
        <f t="shared" si="6"/>
        <v>0.23377198700043283</v>
      </c>
      <c r="L23" s="2">
        <f t="shared" si="7"/>
        <v>0.34643747559808674</v>
      </c>
      <c r="M23" s="2">
        <f t="shared" si="2"/>
        <v>0.45642246397051733</v>
      </c>
      <c r="N23" s="2">
        <f t="shared" si="3"/>
        <v>1.9524258223876596</v>
      </c>
      <c r="O23" s="10">
        <f t="shared" si="4"/>
        <v>8.5766447106205064</v>
      </c>
      <c r="P23" s="10">
        <f t="shared" si="5"/>
        <v>10.446201228504643</v>
      </c>
    </row>
    <row r="24" spans="1:16" x14ac:dyDescent="0.2">
      <c r="A24">
        <v>600</v>
      </c>
      <c r="B24">
        <v>308</v>
      </c>
      <c r="C24">
        <v>60</v>
      </c>
      <c r="D24">
        <v>137891372</v>
      </c>
      <c r="E24">
        <v>70190168</v>
      </c>
      <c r="F24">
        <v>33549348</v>
      </c>
      <c r="G24" s="1">
        <v>53974268</v>
      </c>
      <c r="H24" s="14">
        <v>1.5189999999999999</v>
      </c>
      <c r="I24" s="14">
        <v>1.466</v>
      </c>
      <c r="J24" s="14"/>
      <c r="K24" s="2">
        <f t="shared" si="6"/>
        <v>0.24330273543148154</v>
      </c>
      <c r="L24" s="2">
        <f t="shared" si="7"/>
        <v>0.39142599872021</v>
      </c>
      <c r="M24" s="2">
        <f t="shared" si="2"/>
        <v>0.50902508969161608</v>
      </c>
      <c r="N24" s="2">
        <f t="shared" si="3"/>
        <v>2.0921470068509231</v>
      </c>
      <c r="O24" s="10">
        <f t="shared" si="4"/>
        <v>4.6885473257918058</v>
      </c>
      <c r="P24" s="10">
        <f t="shared" si="5"/>
        <v>5.6220082441399333</v>
      </c>
    </row>
    <row r="25" spans="1:16" x14ac:dyDescent="0.2">
      <c r="A25">
        <v>600</v>
      </c>
      <c r="B25">
        <v>308</v>
      </c>
      <c r="C25">
        <v>80</v>
      </c>
      <c r="D25">
        <v>130957794</v>
      </c>
      <c r="E25">
        <v>63130704</v>
      </c>
      <c r="F25">
        <v>27700820</v>
      </c>
      <c r="G25" s="1">
        <v>54315602</v>
      </c>
      <c r="H25" s="14">
        <v>1.5189999999999999</v>
      </c>
      <c r="I25" s="14">
        <v>1.466</v>
      </c>
      <c r="J25" s="14"/>
      <c r="K25" s="2">
        <f t="shared" si="6"/>
        <v>0.21152479095669555</v>
      </c>
      <c r="L25" s="2">
        <f t="shared" si="7"/>
        <v>0.41475654362351277</v>
      </c>
      <c r="M25" s="2">
        <f t="shared" si="2"/>
        <v>0.48206908555591582</v>
      </c>
      <c r="N25" s="2">
        <f t="shared" si="3"/>
        <v>2.2790193214496899</v>
      </c>
      <c r="O25" s="10">
        <f t="shared" si="4"/>
        <v>3.6645575655125362</v>
      </c>
      <c r="P25" s="10">
        <f t="shared" si="5"/>
        <v>4.0658452619897139</v>
      </c>
    </row>
    <row r="26" spans="1:16" x14ac:dyDescent="0.2">
      <c r="A26">
        <v>600</v>
      </c>
      <c r="B26">
        <v>308</v>
      </c>
      <c r="C26">
        <v>100</v>
      </c>
      <c r="D26">
        <v>129821658</v>
      </c>
      <c r="E26">
        <v>64040328</v>
      </c>
      <c r="F26">
        <v>31697072</v>
      </c>
      <c r="G26" s="1">
        <v>51742260</v>
      </c>
      <c r="H26" s="14">
        <v>1.5189999999999999</v>
      </c>
      <c r="I26" s="14">
        <v>1.466</v>
      </c>
      <c r="J26" s="14"/>
      <c r="K26" s="2">
        <f t="shared" si="6"/>
        <v>0.24415858253789979</v>
      </c>
      <c r="L26" s="2">
        <f t="shared" si="7"/>
        <v>0.39856415945635204</v>
      </c>
      <c r="M26" s="2">
        <f t="shared" si="2"/>
        <v>0.49329463963555298</v>
      </c>
      <c r="N26" s="2">
        <f t="shared" si="3"/>
        <v>2.0203862363059906</v>
      </c>
      <c r="O26" s="10">
        <f t="shared" si="4"/>
        <v>2.8498096191116562</v>
      </c>
      <c r="P26" s="10">
        <f t="shared" si="5"/>
        <v>3.3033979131937703</v>
      </c>
    </row>
    <row r="27" spans="1:16" x14ac:dyDescent="0.2">
      <c r="A27">
        <v>600</v>
      </c>
      <c r="B27">
        <v>308</v>
      </c>
      <c r="C27">
        <v>150</v>
      </c>
      <c r="D27">
        <v>126831046</v>
      </c>
      <c r="E27">
        <v>62240944</v>
      </c>
      <c r="F27">
        <v>27242292</v>
      </c>
      <c r="G27" s="1">
        <v>48030870</v>
      </c>
      <c r="H27" s="14">
        <v>1.5189999999999999</v>
      </c>
      <c r="I27" s="14">
        <v>1.466</v>
      </c>
      <c r="J27" s="14"/>
      <c r="K27" s="2">
        <f t="shared" si="6"/>
        <v>0.21479198397527999</v>
      </c>
      <c r="L27" s="2">
        <f t="shared" si="7"/>
        <v>0.37869962848055355</v>
      </c>
      <c r="M27" s="2">
        <f t="shared" si="2"/>
        <v>0.49073902615294995</v>
      </c>
      <c r="N27" s="2">
        <f t="shared" si="3"/>
        <v>2.2847176001196963</v>
      </c>
      <c r="O27" s="10">
        <f t="shared" si="4"/>
        <v>1.8311923334981643</v>
      </c>
      <c r="P27" s="10">
        <f t="shared" si="5"/>
        <v>2.1946118336548248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Ramelot, Theresa</dc:creator>
  <cp:lastModifiedBy>Theresa Ramelot</cp:lastModifiedBy>
  <dcterms:created xsi:type="dcterms:W3CDTF">2026-05-18T15:52:11Z</dcterms:created>
  <dcterms:modified xsi:type="dcterms:W3CDTF">2026-05-19T14:01:52Z</dcterms:modified>
</cp:coreProperties>
</file>